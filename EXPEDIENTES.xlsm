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46.xml" ContentType="application/vnd.ms-excel.controlproperties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5be8d2cb3bfd474/Escritorio/SIGEM_Mami_Luisa/"/>
    </mc:Choice>
  </mc:AlternateContent>
  <xr:revisionPtr revIDLastSave="1" documentId="8_{FF865B12-99B7-42AF-8BFC-F17673A55E48}" xr6:coauthVersionLast="47" xr6:coauthVersionMax="47" xr10:uidLastSave="{CA983E18-437C-4A0E-8C7C-2506B27CD8CF}"/>
  <bookViews>
    <workbookView xWindow="-120" yWindow="-120" windowWidth="20730" windowHeight="11040" firstSheet="8" activeTab="12" xr2:uid="{E3A2FC6A-6D66-4F1C-B467-CBF9AF6E3CEB}"/>
  </bookViews>
  <sheets>
    <sheet name="MENU" sheetId="4" r:id="rId1"/>
    <sheet name="AÑO 2011" sheetId="5" r:id="rId2"/>
    <sheet name="AÑO 2014" sheetId="7" r:id="rId3"/>
    <sheet name="AÑO 2016" sheetId="8" r:id="rId4"/>
    <sheet name="AÑO 2017" sheetId="10" r:id="rId5"/>
    <sheet name="AÑO 2018" sheetId="11" r:id="rId6"/>
    <sheet name="AÑO 2019" sheetId="12" r:id="rId7"/>
    <sheet name="AÑO 2020" sheetId="13" r:id="rId8"/>
    <sheet name="AÑO 2021" sheetId="14" r:id="rId9"/>
    <sheet name="AÑO 2022" sheetId="15" r:id="rId10"/>
    <sheet name="AÑO 2023" sheetId="16" r:id="rId11"/>
    <sheet name="AÑO 2024" sheetId="17" r:id="rId12"/>
    <sheet name="BASE DE DATOS" sheetId="2" r:id="rId13"/>
  </sheets>
  <definedNames>
    <definedName name="_xlnm._FilterDatabase" localSheetId="11" hidden="1">'AÑO 2024'!$E$6:$G$7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78" i="2" l="1"/>
  <c r="C119" i="17"/>
  <c r="C27" i="16"/>
  <c r="C71" i="14"/>
  <c r="C38" i="13"/>
  <c r="C16" i="12"/>
  <c r="C18" i="11"/>
  <c r="C14" i="10"/>
  <c r="C16" i="8"/>
  <c r="C13" i="7"/>
  <c r="C13" i="5"/>
  <c r="C113" i="15"/>
</calcChain>
</file>

<file path=xl/sharedStrings.xml><?xml version="1.0" encoding="utf-8"?>
<sst xmlns="http://schemas.openxmlformats.org/spreadsheetml/2006/main" count="3631" uniqueCount="1464">
  <si>
    <t xml:space="preserve">NOMBRE </t>
  </si>
  <si>
    <t>AÑO ESCOLAR</t>
  </si>
  <si>
    <t>FICHA</t>
  </si>
  <si>
    <t>NOMBRE COMPLETO</t>
  </si>
  <si>
    <t>NOMBRE</t>
  </si>
  <si>
    <t>2011-2012</t>
  </si>
  <si>
    <t>FREDERY ENRIQUE LANTIGUA</t>
  </si>
  <si>
    <t>2014-2015</t>
  </si>
  <si>
    <t xml:space="preserve">DANNA TERRERO ROJAS </t>
  </si>
  <si>
    <t>Total</t>
  </si>
  <si>
    <t>SEBASTIAN PAUL</t>
  </si>
  <si>
    <t>2016-2017</t>
  </si>
  <si>
    <t>GINNY YARITZA KING HERRERA</t>
  </si>
  <si>
    <t>HERMAS GABRIEL REYES CORPORAN</t>
  </si>
  <si>
    <t>ABDIL HUMBERTO RIVERA PIOS</t>
  </si>
  <si>
    <t>ALEJANDRO MERCEDES AVILA</t>
  </si>
  <si>
    <t>2017-2018</t>
  </si>
  <si>
    <t>ANGEL RAFAEL DEL ROSARIO SILVESTRE</t>
  </si>
  <si>
    <t>2018-2019</t>
  </si>
  <si>
    <t>CARLOS ANDRES PEÑA GUERRERO</t>
  </si>
  <si>
    <t>ALAN STARLIMG GERMAN CEDANO</t>
  </si>
  <si>
    <t>MELANIE BERROA MERCEDES</t>
  </si>
  <si>
    <t>ALVARO ALONZO JIMENEZ DE LA CRUZ</t>
  </si>
  <si>
    <t>MARVIN OTONIEL OLAÑO LUIS</t>
  </si>
  <si>
    <t>LIA YAELIS GOMEZ AVILA</t>
  </si>
  <si>
    <t>CAROL JAZMIN DE LA CRUZ</t>
  </si>
  <si>
    <t>2019-2020</t>
  </si>
  <si>
    <t>JACEL ABDIAS GREEN BELEN</t>
  </si>
  <si>
    <t>THOMAS ARIAN MEJIA PANIAGUA</t>
  </si>
  <si>
    <t>ROSMAISY ENCARNACION LUIS</t>
  </si>
  <si>
    <t>EUGENIO ISAAC DE LA CRUZ MEJIA</t>
  </si>
  <si>
    <t>2020-2021</t>
  </si>
  <si>
    <t>JEREMY GREEN BELEN</t>
  </si>
  <si>
    <t>JACELIN ESTHER GREEN BELIN</t>
  </si>
  <si>
    <t>DANNA ESMERARDA LEONARDO CHARLES</t>
  </si>
  <si>
    <t>RONNY NICOLAS PAREDES</t>
  </si>
  <si>
    <t>GILBERTO JOSE SCROGGINS SANTANA</t>
  </si>
  <si>
    <t>ZABDIEL FRANCISCO RINCON JIMENEZ</t>
  </si>
  <si>
    <t>PEDRO ENRIQUE ROSSO CASTILLO</t>
  </si>
  <si>
    <t>DIEGO SAMIR MORALES DE JESUS</t>
  </si>
  <si>
    <t>MASHIRA MASIEL RODRIGUEZ CAYETANO</t>
  </si>
  <si>
    <t>MIA ROCHEILY CEDEÑO POLANCO</t>
  </si>
  <si>
    <t>MAICOL MARTINEZ BATISTA</t>
  </si>
  <si>
    <t>ALBERTO FERRER PAREDES COLUMNA</t>
  </si>
  <si>
    <t>LUIS NICOLAS GARCIA DANIEL</t>
  </si>
  <si>
    <t>BERBIEL ALEJANDRO VALDEZ BRITO</t>
  </si>
  <si>
    <t>JAMILY MARIE PERDOMO PAREDES</t>
  </si>
  <si>
    <t>SONYI MARIELIS MORLA CEDEÑO</t>
  </si>
  <si>
    <t>GREG ADRIEL RODRIGUEZ PAULINO</t>
  </si>
  <si>
    <t>WILKINS OSVALDO CRUZ RODRIGUEZ</t>
  </si>
  <si>
    <t>NASHLY BEATRIZ PEROZO HODGE</t>
  </si>
  <si>
    <t>DARIEL ALEXANDER LIMENEZ VASQUEZ</t>
  </si>
  <si>
    <t>REASHLY ANDIRA MERCEDES GUERRERO</t>
  </si>
  <si>
    <t>USHER EDUARDO GOMEZ GUZMAN</t>
  </si>
  <si>
    <t>NESTOR MIGUEL BRITO INIRIO</t>
  </si>
  <si>
    <t>ISRAEL VASQUEZ RODRIGUEZ</t>
  </si>
  <si>
    <t>EMELY ERIANNY PASCUAL SANTANA</t>
  </si>
  <si>
    <t>ANGEL JHONIEL ENCARNACION LUIS</t>
  </si>
  <si>
    <t>2021-2022</t>
  </si>
  <si>
    <t>DARIANA ROMERO MOLINA</t>
  </si>
  <si>
    <t>ASTRID LISELOT AGUASIVAS VALDEZ</t>
  </si>
  <si>
    <t>ANDREILY MERMARIT DE JESUS ASTACIO</t>
  </si>
  <si>
    <t>AISLYN MEJIA ORTIZ</t>
  </si>
  <si>
    <t xml:space="preserve">MIGUEL ANTONIO QUIÑONES </t>
  </si>
  <si>
    <t>LISABDRO KING MOTA</t>
  </si>
  <si>
    <t>KEYNER BAEZ MEJIA</t>
  </si>
  <si>
    <t>CHRISTOPHER SANTANA JIMENEZ</t>
  </si>
  <si>
    <t>ANALIAS YELISA JONAIS</t>
  </si>
  <si>
    <t>ENMANUEL ZAHIR SALAS BLANCO</t>
  </si>
  <si>
    <t>BREILIN ESDRAS GONZALES ALCANTARA</t>
  </si>
  <si>
    <t>ADRIEL FLORENTINO QUEZADA</t>
  </si>
  <si>
    <t xml:space="preserve">ADRIAN PEREZ </t>
  </si>
  <si>
    <t>KAREN QUIÑONES RIJO</t>
  </si>
  <si>
    <t>GONZALO ANDRE HERRERO REYES</t>
  </si>
  <si>
    <t>EIDAN ISMAEL RENAUD CONSTANZO</t>
  </si>
  <si>
    <t>CARLOS JHAIR PIMENTEL PUELLO</t>
  </si>
  <si>
    <t>ARMONY FELIZ FERREIRA</t>
  </si>
  <si>
    <t>SAYHARA MAGDALENA LUIS</t>
  </si>
  <si>
    <t>ORMANY MENDEZ GUERRERO</t>
  </si>
  <si>
    <t>OMAIRY LIZMAR HERRERO GUERRERO</t>
  </si>
  <si>
    <t>LISBETH PAULINO BATISTA</t>
  </si>
  <si>
    <t>AXEL JUNIOR CORDERO VELEZ</t>
  </si>
  <si>
    <t>GIA CABRERA CEDANO</t>
  </si>
  <si>
    <t>LUZ CAMILA CONCEPCION CARBONELL</t>
  </si>
  <si>
    <t>EDELIN MASSIEL RODRIGUEZ MARTINEZ</t>
  </si>
  <si>
    <t>SOPHIA VIRGINIA HUERTAS GUERRERO</t>
  </si>
  <si>
    <t>KELLY THOMAS HODGE QUIÑONES</t>
  </si>
  <si>
    <t>ISMAEL FRANCISCO QUIÑONES</t>
  </si>
  <si>
    <t>VALENTINA GUERRERO ROSARIO</t>
  </si>
  <si>
    <t>MIGUEL ANTONIO QUIÑONES CIVIL</t>
  </si>
  <si>
    <t>VICTOR CHANELL VALERIO GOMEZ</t>
  </si>
  <si>
    <t>CHARLOTTE MASSIEL BRAZOBAN RAMIREZ</t>
  </si>
  <si>
    <t>KARIN ELIAS EMILIO MOREL</t>
  </si>
  <si>
    <t>MAYRELES SEVERINO GUERRERO</t>
  </si>
  <si>
    <t>CARLOS CORDERO NICOLAS</t>
  </si>
  <si>
    <t>SNAYDER ENMANUEL ROSARIO</t>
  </si>
  <si>
    <t>SEBASTIAN CRUZ RODRIGUEZ</t>
  </si>
  <si>
    <t>SOPHIA YILIANS VARGAS CORDERO</t>
  </si>
  <si>
    <t>ISABELLA CARLOTA HERRERO</t>
  </si>
  <si>
    <t>YALIA MASSIEL BRAZOBAN ROSARIO</t>
  </si>
  <si>
    <t>DANNA CAMILA MORENO ALFONSECA</t>
  </si>
  <si>
    <t>DAELING ENMANUEL SILVESTRE BRITO</t>
  </si>
  <si>
    <t>ALIAH ANGELIQUE MERCEDES SORIANO</t>
  </si>
  <si>
    <t>SAHONI VANESSA JIMENEZ FALCON</t>
  </si>
  <si>
    <t>ABRAHAM ALEXANDER RIVAS VICIOSO</t>
  </si>
  <si>
    <t>KATHLEEN AMELIA MEJIA PANIAGUA</t>
  </si>
  <si>
    <t>HEYDER AARON MEJIA MONTERO</t>
  </si>
  <si>
    <t>DARIAN MARIO FRAZER PAYNER</t>
  </si>
  <si>
    <t>YURANNI QUERUBE MARTINEZ REYES</t>
  </si>
  <si>
    <t>SADY NAILIN CEDEÑO VENTURA</t>
  </si>
  <si>
    <t>ELIANDRA FRAMAIRY MONTAS RAMIREZ</t>
  </si>
  <si>
    <t>AYLIN ODILET ESTEVEZ GARCIAS</t>
  </si>
  <si>
    <t>AURORA ACENCIO RIJO</t>
  </si>
  <si>
    <t>ELIAHAM FELIX UBIERA MAÑANA</t>
  </si>
  <si>
    <t>KEILER MILAN GOMEZ</t>
  </si>
  <si>
    <t>ABDIEL ALEXANDER ARMSTRONG SHEPHARD</t>
  </si>
  <si>
    <t>FRANYEIDY ZAPATA ARIAS</t>
  </si>
  <si>
    <t>2022-2023</t>
  </si>
  <si>
    <t>F-001</t>
  </si>
  <si>
    <t>F-002</t>
  </si>
  <si>
    <t>F-003</t>
  </si>
  <si>
    <t>F-004</t>
  </si>
  <si>
    <t>F-005</t>
  </si>
  <si>
    <t>F-006</t>
  </si>
  <si>
    <t>F-007</t>
  </si>
  <si>
    <t>F-008</t>
  </si>
  <si>
    <t>F-009</t>
  </si>
  <si>
    <t>F-010</t>
  </si>
  <si>
    <t>F-011</t>
  </si>
  <si>
    <t>F-012</t>
  </si>
  <si>
    <t>F-013</t>
  </si>
  <si>
    <t>F-014</t>
  </si>
  <si>
    <t>F-015</t>
  </si>
  <si>
    <t>F-016</t>
  </si>
  <si>
    <t>F-017</t>
  </si>
  <si>
    <t>F-018</t>
  </si>
  <si>
    <t>F-019</t>
  </si>
  <si>
    <t>F-020</t>
  </si>
  <si>
    <t>F-021</t>
  </si>
  <si>
    <t>F-022</t>
  </si>
  <si>
    <t>F-023</t>
  </si>
  <si>
    <t>F-024</t>
  </si>
  <si>
    <t>F-025</t>
  </si>
  <si>
    <t>F-026</t>
  </si>
  <si>
    <t>F-027</t>
  </si>
  <si>
    <t>F-028</t>
  </si>
  <si>
    <t>F-029</t>
  </si>
  <si>
    <t>F-030</t>
  </si>
  <si>
    <t>F-031</t>
  </si>
  <si>
    <t>F-032</t>
  </si>
  <si>
    <t>F-033</t>
  </si>
  <si>
    <t>F-034</t>
  </si>
  <si>
    <t>F-035</t>
  </si>
  <si>
    <t>F-036</t>
  </si>
  <si>
    <t>F-037</t>
  </si>
  <si>
    <t>F-038</t>
  </si>
  <si>
    <t>F-039</t>
  </si>
  <si>
    <t>F-040</t>
  </si>
  <si>
    <t>F-041</t>
  </si>
  <si>
    <t>F-042</t>
  </si>
  <si>
    <t>F-043</t>
  </si>
  <si>
    <t>F-044</t>
  </si>
  <si>
    <t>F-045</t>
  </si>
  <si>
    <t>F-046</t>
  </si>
  <si>
    <t>F-047</t>
  </si>
  <si>
    <t>F-048</t>
  </si>
  <si>
    <t>F-049</t>
  </si>
  <si>
    <t>F-050</t>
  </si>
  <si>
    <t>F-051</t>
  </si>
  <si>
    <t>F-052</t>
  </si>
  <si>
    <t>F-053</t>
  </si>
  <si>
    <t>F-054</t>
  </si>
  <si>
    <t>F-055</t>
  </si>
  <si>
    <t>F-056</t>
  </si>
  <si>
    <t>F-057</t>
  </si>
  <si>
    <t>F-058</t>
  </si>
  <si>
    <t>F-059</t>
  </si>
  <si>
    <t>WILL RODERICK MARTINEZ</t>
  </si>
  <si>
    <t>GABRIEL ALEXANDER</t>
  </si>
  <si>
    <t>BRITAMY MEJIA DE JESUS</t>
  </si>
  <si>
    <t>EITHAN SOSA MORLA</t>
  </si>
  <si>
    <t>BRIANY DE JESUS RODRIGUEZ</t>
  </si>
  <si>
    <t>JOEL NATAHIA ALCANTARA SILNICE</t>
  </si>
  <si>
    <t>JOSE MANUEL MERCEDES</t>
  </si>
  <si>
    <t>FRANDY ALBDIER PEREZ SARMIENTO</t>
  </si>
  <si>
    <t>MARIA PALOMA VANDERHORST</t>
  </si>
  <si>
    <t>ELIZA MARIA RODRIGUEZ</t>
  </si>
  <si>
    <t>DANNA PAOLA RODRIGUEZ DE LA CRUZ</t>
  </si>
  <si>
    <t>ARANSSA AXELYS GUILAMO DE LOS SANTOS</t>
  </si>
  <si>
    <t>ALEJANDRO JOSE MALDONADO VALDEZ</t>
  </si>
  <si>
    <t>ABRIL MARIE PILIER MOJICA</t>
  </si>
  <si>
    <t>KEYLER MANUEL RIVERA RAMIREZ</t>
  </si>
  <si>
    <t>JOLANNY YESMELL PEREZ MARTINEZ</t>
  </si>
  <si>
    <t>JANNIE ESMIRNA CEDEÑO CASTILLO</t>
  </si>
  <si>
    <t>ZAHIR DAVID RODRIGUEZ RAMIREZ</t>
  </si>
  <si>
    <t>AMELIA MARGARITA CARVAJAL RIJO</t>
  </si>
  <si>
    <t>JOEL CHISTIAN ALCANTARA SILNICE</t>
  </si>
  <si>
    <t xml:space="preserve">IAN ISMAEL HINOJOSA CIPRIAN </t>
  </si>
  <si>
    <t>ELIAS JUNIOR RICHARDSON RIVERA</t>
  </si>
  <si>
    <t>HELIN MARIE MELO HERRERO</t>
  </si>
  <si>
    <t>ANHELI DIAZ DE LA CRUZ</t>
  </si>
  <si>
    <t>ADRIEL CHALAS LEON</t>
  </si>
  <si>
    <t>BRIANNY LISBETH MERCEDES MIESES</t>
  </si>
  <si>
    <t>ALAIA MARIE DE LOS SANTOS</t>
  </si>
  <si>
    <t>JOSIAS ABDIEL VALENCIA LOUIS</t>
  </si>
  <si>
    <t>LESLIE YACENIELYS BAEZ SANTANA</t>
  </si>
  <si>
    <t>ISABELLA MARIE MOTA PION</t>
  </si>
  <si>
    <t>ISMILYN BETANCES</t>
  </si>
  <si>
    <t>LISBETH SANTANA FERREIS</t>
  </si>
  <si>
    <t>JADELYN SOPHIA MATEO DE LA CRUZ</t>
  </si>
  <si>
    <t>ALLAM SAMUEL LOUIS</t>
  </si>
  <si>
    <t>AMY YODALISA MACHUCA RUIZ</t>
  </si>
  <si>
    <t>ANFERNY SAMUEL ARIAS</t>
  </si>
  <si>
    <t>ANDER DE JESUS ROSARIO GUERRERO</t>
  </si>
  <si>
    <t>ERICH ENMANUEL PAULINO GUERRERO</t>
  </si>
  <si>
    <t>GUILLERMO ALEJANDRO PIERRE JARVIS</t>
  </si>
  <si>
    <t>KEILLY BERENICE MONSON LAUREANO</t>
  </si>
  <si>
    <t>ISABELLA SERRANO HERNANDEZ</t>
  </si>
  <si>
    <t>WILMER JOHAN ZAMBRANO LIGGETT</t>
  </si>
  <si>
    <t>JASLIN CRISTAL GIL RAMIREZ</t>
  </si>
  <si>
    <t>KIANALEE CASTILLO MEJIA</t>
  </si>
  <si>
    <t>MELANIE NOA OLIVO</t>
  </si>
  <si>
    <t>KARLENYS GERBACIO MORALES</t>
  </si>
  <si>
    <t>BRYANYERLI NICOLE RODRIGUEZ VELOZ</t>
  </si>
  <si>
    <t>LUIS ISAEL CEDENO PINALES</t>
  </si>
  <si>
    <t>CARLA PUELLO REYES</t>
  </si>
  <si>
    <t>AMIR REYES GARCIAS</t>
  </si>
  <si>
    <t>AUSTIN AMIR FIGUEROA MERCEDES</t>
  </si>
  <si>
    <t xml:space="preserve">ISABELLA BAEZ </t>
  </si>
  <si>
    <t>CAMILA DEL ROSARIO GARRIDO</t>
  </si>
  <si>
    <t xml:space="preserve">KAISHJERY POLANCO </t>
  </si>
  <si>
    <t>KEYSHA CABRERA FERRARA</t>
  </si>
  <si>
    <t>ZOE DEL ROSARIO APOLINARIO</t>
  </si>
  <si>
    <t>MEIMI RUIZ CALUMNA</t>
  </si>
  <si>
    <t>JHOAN ELUCIANO</t>
  </si>
  <si>
    <t>ZOE HERMAYONI BAUTISTA APONTE</t>
  </si>
  <si>
    <t xml:space="preserve">IAN TEJADA MANUEL </t>
  </si>
  <si>
    <t>LUIS CASTILLO RODRIGUEZ</t>
  </si>
  <si>
    <t>REYNER JOMAR RAMIREZ MALDONADO</t>
  </si>
  <si>
    <t>MELANIE NOA CARASGO</t>
  </si>
  <si>
    <t>DAIRYS ARIANNA SOLANO ESPIRITUSANTO</t>
  </si>
  <si>
    <t>DARIENNY ELIZABETH MARTINEZ BATISTA</t>
  </si>
  <si>
    <t>SARAH CALORINA RAMIREZ MONTERO</t>
  </si>
  <si>
    <t>YUDALIS MARTE DE LOS SANTOS MARTINEZ</t>
  </si>
  <si>
    <t>LESLY ROUSS ALFONSECA PIMENTEL</t>
  </si>
  <si>
    <t>ANDRIELYS YOCASTA GARCIA ZAPATA</t>
  </si>
  <si>
    <t>AMANDA MONTSERRAT SEVERINO AVILA</t>
  </si>
  <si>
    <t>JULIANNA TAMAR SERRANO VALDEZ</t>
  </si>
  <si>
    <t>MANUEL ELIAS MEDINA BATISTA</t>
  </si>
  <si>
    <t>IAN MARTINEZ CASTRO</t>
  </si>
  <si>
    <t>ANA SOFIA BERROA CASTRO</t>
  </si>
  <si>
    <t>MARIANGEL AMAYO GONZALES</t>
  </si>
  <si>
    <t>STEVE FRANCOS ANTONIE</t>
  </si>
  <si>
    <t>AMELIA BAEZ DEL ROSARIO</t>
  </si>
  <si>
    <t>JARDEN SAMBOY MERCEDES</t>
  </si>
  <si>
    <t xml:space="preserve"> SOPHIA YULIERNYS ALEXA</t>
  </si>
  <si>
    <t>ZOETH PAMELA BERROA PEREZ</t>
  </si>
  <si>
    <t>AARON FELIPE SIERRA</t>
  </si>
  <si>
    <t>ADRIAN ELEINI SANTANA CANELO</t>
  </si>
  <si>
    <t>YANDEL MIGUEL MARTE HERRERA</t>
  </si>
  <si>
    <t>DIANA ELIZABETH HERRERA BRITO</t>
  </si>
  <si>
    <t>NOAH ENMANUEL CASTILLO COOPER</t>
  </si>
  <si>
    <t>IVONNE MARIE DE LOS SANTOS</t>
  </si>
  <si>
    <t>DAVID NICOLAS AVILA LOPEZ</t>
  </si>
  <si>
    <t>BAYRON GABRIEL DE OLEO HILTON</t>
  </si>
  <si>
    <t>ARIANGEL MOREL BAEZ MARTINEZ</t>
  </si>
  <si>
    <t>GEMMA SOFIA SANTANA LEDESMA</t>
  </si>
  <si>
    <t>EYDELIN ABIGAIL PADILLA RIJO</t>
  </si>
  <si>
    <t>DEIREL ELIAS SERRANO ANGOMAS</t>
  </si>
  <si>
    <t>SHEIMY ABIGAIL QUEZADA PILIER</t>
  </si>
  <si>
    <t>MAYA ANTONELLA ROMERO LANGEL</t>
  </si>
  <si>
    <t>PAULA JOANLY PINEDA ROBLES</t>
  </si>
  <si>
    <t>SERENA TORRES RAMOS</t>
  </si>
  <si>
    <t>TIFFANY ZAPATA ARIAS</t>
  </si>
  <si>
    <t>LOANNY ALMANZAR FELIPE</t>
  </si>
  <si>
    <t>ALEXA ABIGAIL MEJIA INIRIO</t>
  </si>
  <si>
    <t>MICHAEL STEVE GARRIDO SANCHEZ</t>
  </si>
  <si>
    <t>MADELAINE CEDEÑO LAPPOT</t>
  </si>
  <si>
    <t>F-060</t>
  </si>
  <si>
    <t>F-061</t>
  </si>
  <si>
    <t>F-062</t>
  </si>
  <si>
    <t>F-063</t>
  </si>
  <si>
    <t>F-064</t>
  </si>
  <si>
    <t>F-065</t>
  </si>
  <si>
    <t>F-066</t>
  </si>
  <si>
    <t>F-067</t>
  </si>
  <si>
    <t>F-068</t>
  </si>
  <si>
    <t>F-069</t>
  </si>
  <si>
    <t>F-070</t>
  </si>
  <si>
    <t>F-071</t>
  </si>
  <si>
    <t>F-072</t>
  </si>
  <si>
    <t>F-073</t>
  </si>
  <si>
    <t>F-074</t>
  </si>
  <si>
    <t>F-075</t>
  </si>
  <si>
    <t>F-076</t>
  </si>
  <si>
    <t>F-077</t>
  </si>
  <si>
    <t>F-078</t>
  </si>
  <si>
    <t>F-079</t>
  </si>
  <si>
    <t>F-080</t>
  </si>
  <si>
    <t>F-081</t>
  </si>
  <si>
    <t>F-082</t>
  </si>
  <si>
    <t>F-083</t>
  </si>
  <si>
    <t>F-084</t>
  </si>
  <si>
    <t>F-085</t>
  </si>
  <si>
    <t>F-086</t>
  </si>
  <si>
    <t>F-087</t>
  </si>
  <si>
    <t>F-088</t>
  </si>
  <si>
    <t>F-089</t>
  </si>
  <si>
    <t>F-090</t>
  </si>
  <si>
    <t>F-091</t>
  </si>
  <si>
    <t>F-092</t>
  </si>
  <si>
    <t>F-093</t>
  </si>
  <si>
    <t>F-094</t>
  </si>
  <si>
    <t>F-095</t>
  </si>
  <si>
    <t>F-096</t>
  </si>
  <si>
    <t>F-097</t>
  </si>
  <si>
    <t>F-098</t>
  </si>
  <si>
    <t>F-099</t>
  </si>
  <si>
    <t>F-100</t>
  </si>
  <si>
    <t>F-101</t>
  </si>
  <si>
    <t>2023-2024</t>
  </si>
  <si>
    <t>CRISMAILY MARIE ROMAN PICCIRILLO</t>
  </si>
  <si>
    <t>KENDRY YOANGEL NACH RUIZ</t>
  </si>
  <si>
    <t>KENIA ELIANGEL MACH RUIZ</t>
  </si>
  <si>
    <t>VALERIE ABIGAIL QUIÑONES PEGUERO</t>
  </si>
  <si>
    <t>ELIAN JOSE MINAYA GUZMAN</t>
  </si>
  <si>
    <t>HERLY MICHELLE PEREZ GARCIA</t>
  </si>
  <si>
    <t>JEREMY ISAAC COLOME MONTAS</t>
  </si>
  <si>
    <t xml:space="preserve">ESTHER NUÑEZ </t>
  </si>
  <si>
    <t>ASTRISS MARIT GUILSMO DE LOS SANTOS</t>
  </si>
  <si>
    <t>DANELYS YASLIN POLANCO GERVACIO</t>
  </si>
  <si>
    <t>YAHIR ESTEBAN FELIZ HARVEY</t>
  </si>
  <si>
    <t>ABDIEL CARPIO ACOSTA</t>
  </si>
  <si>
    <t>PAOLA SOPHIA PANIAGUA APONTE</t>
  </si>
  <si>
    <t>JORGE SOLANO MARTINEZ</t>
  </si>
  <si>
    <t>2024-2025</t>
  </si>
  <si>
    <t>ELIANNY BERRA MENDEZ</t>
  </si>
  <si>
    <t>EIDDEL ELIAS SERRANO ANGOMAS</t>
  </si>
  <si>
    <t>ISABELLA CHARLOTTE QUETEN DANIEL</t>
  </si>
  <si>
    <t>NAILIN JOSE ANISCA</t>
  </si>
  <si>
    <t>MONTSERRAT MOTA PION</t>
  </si>
  <si>
    <t>BRYANDER RODRIGO MERCEDES GUERRERO</t>
  </si>
  <si>
    <t>DELAHIA SOFIA MONTERO INIRIO</t>
  </si>
  <si>
    <t>LOVERLY CAROLINE NUNEZ BAKER</t>
  </si>
  <si>
    <t>JHONNY ALEXANDER QUETEN DANIEL</t>
  </si>
  <si>
    <t>DANIEL EDUARDO GARRIDO SANCHEZ</t>
  </si>
  <si>
    <t>ESMAEL YAIR GONZALEZ SANTANA</t>
  </si>
  <si>
    <t>LESLIE CAMILA GOMEZ SANTANA</t>
  </si>
  <si>
    <t>FABIAN MOISES JOASSAINT RIZILE</t>
  </si>
  <si>
    <t>LIAM ONIEL CRUZ RICHARDSON</t>
  </si>
  <si>
    <t>RYAN RAFAEL CEDANO BRITO</t>
  </si>
  <si>
    <t>ISAAC ROCHE MARIANO</t>
  </si>
  <si>
    <t>JOSE ANGEL GERALDO BETANCES</t>
  </si>
  <si>
    <t>ZABDIEL ISAAC MARTINEZ JULIAN</t>
  </si>
  <si>
    <t>HEILIN MARIE MELO HERRERO</t>
  </si>
  <si>
    <t>MAIA PALOMA VANDERHORST</t>
  </si>
  <si>
    <t>TOTAL</t>
  </si>
  <si>
    <t>JOELY NATANIA ALCANTARA SILNICE</t>
  </si>
  <si>
    <t>SOPHIA YULIERNYS ALEXA</t>
  </si>
  <si>
    <t>ANDREW ABRAHAM DAVIS</t>
  </si>
  <si>
    <t>ARIELIS GABRIELA MATEO GUERRERO</t>
  </si>
  <si>
    <t>CHLOE GALIANNY CARPIO ZORRILLA</t>
  </si>
  <si>
    <t>CHRISTOPHER RAEL MOREL MARTINEZ</t>
  </si>
  <si>
    <t>JERIEL GUERRERO MARTINEZ</t>
  </si>
  <si>
    <t>KYE MARIE DURAN GARCIAS</t>
  </si>
  <si>
    <t>MIKENSON RODRIGUEZ</t>
  </si>
  <si>
    <t>ABIGAIL RODRIGUEZ PEREZ</t>
  </si>
  <si>
    <t>AMANDA REYES JACOB</t>
  </si>
  <si>
    <t>DASHLA SOFIA DE JESUS PEREZ</t>
  </si>
  <si>
    <t>DYLAN JARELL MOISES RAMOS</t>
  </si>
  <si>
    <t>EZEQUIEL TRINIDAD MULLER</t>
  </si>
  <si>
    <t>LIAM FELIX MONTERO</t>
  </si>
  <si>
    <t>ROSFREILY CARPIO BRANCH</t>
  </si>
  <si>
    <t>ROSNAILY ANABELL RIVERA SENA</t>
  </si>
  <si>
    <t>ERIANNY ELIZBETH CONCEPCION ABREU</t>
  </si>
  <si>
    <t>GADDIEL QUARLESS MALDONADO</t>
  </si>
  <si>
    <t>JAYDEN ABIEL FIGUEROA CASTRODA</t>
  </si>
  <si>
    <t>LIRAYS ABIGAIL MERCADO DE LA CRUZ</t>
  </si>
  <si>
    <t>LEONEL ALEJANDRO MARTINEZ RUIZ</t>
  </si>
  <si>
    <t>LORELEY SOPHIA DE AZA</t>
  </si>
  <si>
    <t>SEBASTIAN ANIBAL GERALDO RODRIGUEZ</t>
  </si>
  <si>
    <t>BRIATTNY CHANEL PICHARDO PEREZ</t>
  </si>
  <si>
    <t>HENSER ELIAS MARTES DE LA CRUZ</t>
  </si>
  <si>
    <t>MARIA LIA DE LA ROSA CANARIO</t>
  </si>
  <si>
    <t>ROGNER ISAAC VILLAVICENCIO ALMARANTE</t>
  </si>
  <si>
    <t>NAHOMI CAMILA RAMIREZ ROSARIO</t>
  </si>
  <si>
    <t>ROSMARLYN DE JESUS ARIAS</t>
  </si>
  <si>
    <t>RYAN ESTEBAN PEREZ TAPIA</t>
  </si>
  <si>
    <t>LIZ MARIE DRIGGS TOIRAC</t>
  </si>
  <si>
    <t>KEYLER ERNESTO CASTILLO NUÑEZ</t>
  </si>
  <si>
    <t>LIAN MARTE PEREZ</t>
  </si>
  <si>
    <t>HEYDAN DUBOIS</t>
  </si>
  <si>
    <t>CARLOS SAID PADUA GUILLEN</t>
  </si>
  <si>
    <t>ANIBAL RAFAEL PEREZ SANTANA</t>
  </si>
  <si>
    <t>SWARLDY ROSER FELICIANO ALVAREZ</t>
  </si>
  <si>
    <t>LIAM DAVID ESPIRITUSANTO RUIZ</t>
  </si>
  <si>
    <t>KAROLIN ESTHER HUGGINS BAEZ</t>
  </si>
  <si>
    <t>PATRIA ESMERALDA TOLENTINO PEREZ</t>
  </si>
  <si>
    <t>GEIRAM EMMANUEL ALCANTARA</t>
  </si>
  <si>
    <t>MATTIAS ROBELIN VANDERHORTS</t>
  </si>
  <si>
    <t>KAYLA PATRICIA CASTILLO NUÑEZ</t>
  </si>
  <si>
    <t>ISAURA YULEINI SUAREZ</t>
  </si>
  <si>
    <t>DIANNY ARIEL MARTE DE LA CRUZ</t>
  </si>
  <si>
    <t>BRIANNY ROSALY VARGAS SALOMON</t>
  </si>
  <si>
    <t>VICTORIA ABIGAIL MORLA CASTILLO</t>
  </si>
  <si>
    <t>ROSMERY YELIANNY PEREZ LUNA</t>
  </si>
  <si>
    <t>NAOMI ISABELLA RIVERA SANCHEZ</t>
  </si>
  <si>
    <t>LUIS ALEJANDRO MORALES SORIANO</t>
  </si>
  <si>
    <t>KEYDEN MANUEL NOVA BENITEZ</t>
  </si>
  <si>
    <t>WANDER DANIEL MARTINEZ PEGUERO</t>
  </si>
  <si>
    <t>SCARLETT ESTHER CASTILLO SANTANA</t>
  </si>
  <si>
    <t>MELANNY DIANNE CANDELARIO KNIGHT</t>
  </si>
  <si>
    <t>LISMEYRI JASMIN SEVERINO ECHAVARRIA</t>
  </si>
  <si>
    <t>YERIEL SANCHEZ</t>
  </si>
  <si>
    <t>RIANCI GABRIEL NUÑEZ SANCHEZ</t>
  </si>
  <si>
    <t>LIA JOHANA DRIGGS TOIRAC</t>
  </si>
  <si>
    <t>KATHLEEN NATHALI DE LA CRUZ MEDINA</t>
  </si>
  <si>
    <t>IAN ELIEL THOMAS CASTILLO</t>
  </si>
  <si>
    <t>CRISMEILYN YASMIN SEVERINO ECHAVARRIA</t>
  </si>
  <si>
    <t>JULIO ALEJANDRO TOLENTINO PEREZ</t>
  </si>
  <si>
    <t>SARAI YAQUELI MIESES DE AZA</t>
  </si>
  <si>
    <t>ROYWEN ALEXANDER MARTINEZ PEGUERO</t>
  </si>
  <si>
    <t>MELANY YARITSSELL RESTITUYO RODRIGUEZ</t>
  </si>
  <si>
    <t>JUNEIBI JANEL SOLER GARCIA</t>
  </si>
  <si>
    <t>JESHUA DAVID THOMAS CASTILLO</t>
  </si>
  <si>
    <t>FINA ABIGAIL PUELLO BASTISTA</t>
  </si>
  <si>
    <t>EVANGELINE LAURIANO SANTANA</t>
  </si>
  <si>
    <t>ESMIL JESUS HERNADEZ RODRIGUEZ</t>
  </si>
  <si>
    <t>ELIAS MOISES BERROA PEREZ</t>
  </si>
  <si>
    <t>DAVID SEBASTIAN RIJO CEDEÑO</t>
  </si>
  <si>
    <t>BRYANNA DEL CASTILLO RODRIGUEZ</t>
  </si>
  <si>
    <t>ASHANTY ALEXA ECHAVARRIA GUERRERO</t>
  </si>
  <si>
    <t>ARIELYS GUERRERO HERNANDEZ</t>
  </si>
  <si>
    <t>ANGELO LUIS POLLINA GERARDO</t>
  </si>
  <si>
    <t>AMAURY ALEZANDER MEDINA MELO</t>
  </si>
  <si>
    <t>ANA GISELADELPERO DESIDO</t>
  </si>
  <si>
    <t>AMBAR SOPHIA LEON SANTANA</t>
  </si>
  <si>
    <t>ANGEL MIGUEL MARTINEZ</t>
  </si>
  <si>
    <t>ABDIEL ISAAC MORALES ACEVEDO</t>
  </si>
  <si>
    <t>KLOHE ALEXANDRA MIESES CID</t>
  </si>
  <si>
    <t>JANET ARIANNA MEDINA MARTINEZ</t>
  </si>
  <si>
    <t>ISABELLA MARIE HANE</t>
  </si>
  <si>
    <t>GEORGE ALFREDO RUIZ JIMENEZ</t>
  </si>
  <si>
    <t>F-102</t>
  </si>
  <si>
    <t>F-103</t>
  </si>
  <si>
    <t>CAMILA ONDINA MEJIAS TORRES</t>
  </si>
  <si>
    <t>F-104</t>
  </si>
  <si>
    <t>ZIA DANAE MARTE BATISTA</t>
  </si>
  <si>
    <t>F-105</t>
  </si>
  <si>
    <t>ZOE YONEIDA TORRES DE LA ROSA</t>
  </si>
  <si>
    <t>F-106</t>
  </si>
  <si>
    <t>F-116</t>
  </si>
  <si>
    <t xml:space="preserve"> JABES DOUGLAS GARCIA PINEDA</t>
  </si>
  <si>
    <t>F-281</t>
  </si>
  <si>
    <t xml:space="preserve"> RUBEN JUNIOR GOMEZ AZA</t>
  </si>
  <si>
    <t>2012-2013</t>
  </si>
  <si>
    <t>F-468</t>
  </si>
  <si>
    <t>AARON MANUEL CRISPIN RUIZ</t>
  </si>
  <si>
    <t>AARON MAXIMILIANO CASTILLO VASQUEZ</t>
  </si>
  <si>
    <t>AARON SAMUEL ROSA RIJO</t>
  </si>
  <si>
    <t>ABEL ANTONY MATOS</t>
  </si>
  <si>
    <t>ABIGAIL DE LEON RICHIEZ</t>
  </si>
  <si>
    <t>ABIGAIL JOSEFINA POLANCO ENCARNACION</t>
  </si>
  <si>
    <t>2010-2011</t>
  </si>
  <si>
    <t>ABRAHAN TOVAR EDUARDO</t>
  </si>
  <si>
    <t>ABYS ANANDRI DOÑE GUZMAN</t>
  </si>
  <si>
    <t>ADRIAN ALBERTO RAMIREZ GIL</t>
  </si>
  <si>
    <t>2007-2008</t>
  </si>
  <si>
    <t>ADRIAN ENMANUEL CESPEDES AUSTRONG</t>
  </si>
  <si>
    <t>ADRIAN GUERRERO SHEPHARD</t>
  </si>
  <si>
    <t>ADRIAN JESUS LAURIANO</t>
  </si>
  <si>
    <t>ADRIAN OSIRIS BORRERO MENA</t>
  </si>
  <si>
    <t>ADRIAN STARLING RIJO HERRERA</t>
  </si>
  <si>
    <t>ADRIANO MORALES MORALES</t>
  </si>
  <si>
    <t xml:space="preserve">AGUEDO IRLANDY RIJO </t>
  </si>
  <si>
    <t>AILLYN ISABEL MONTILLA ENCARNACION</t>
  </si>
  <si>
    <t>ALAN ENMANUEL FERMIN DE LEON</t>
  </si>
  <si>
    <t>2015-2016</t>
  </si>
  <si>
    <t xml:space="preserve">ALAN ENMANUEL FLORIMON </t>
  </si>
  <si>
    <t>ALAN FRANCISCO SANEAUX UBIERA</t>
  </si>
  <si>
    <t>2008-2009</t>
  </si>
  <si>
    <t>ALBERTO MIGUEL GUERRERO ROMAN</t>
  </si>
  <si>
    <t>ALEJANDRA LISSELOT ROSARIO WELLS</t>
  </si>
  <si>
    <t>ALEJANDRO ENRIQUE DESCHAMPS</t>
  </si>
  <si>
    <t>ALEJANDRO GABRIEL SANCHEZ GUERRERO</t>
  </si>
  <si>
    <t>ALENNIS CRISTINA CORDERO CARVAJAL</t>
  </si>
  <si>
    <t>ALEXA LISSETTE JIMENEZ ROJAS</t>
  </si>
  <si>
    <t>ALEXANDER BLESS</t>
  </si>
  <si>
    <t>ALEXANDER VALDEZ</t>
  </si>
  <si>
    <t>ALEXANDRA CEDEÑO SOLANO</t>
  </si>
  <si>
    <t>2006-2007</t>
  </si>
  <si>
    <t>ALEXANDRA LEVEILLE DE LOS SANTOS</t>
  </si>
  <si>
    <t>2013-2014</t>
  </si>
  <si>
    <t>ALEXANDRA ORDOÑEZ CUSTILLO</t>
  </si>
  <si>
    <t>NIDO</t>
  </si>
  <si>
    <t>ALFREDO DAVID NUÑEZ BERROA</t>
  </si>
  <si>
    <t>ALIAH VICTORIA CAPELLAN ENCARNACION</t>
  </si>
  <si>
    <t>ALINA ESTHER NIEVES VILLAFAÑA</t>
  </si>
  <si>
    <t>ALVARO ISAAC MESSINA BATISTA</t>
  </si>
  <si>
    <t>AMBAR ISAIRA DIAZ RODRIGUEZ</t>
  </si>
  <si>
    <t>AMBAR YAMILEMANZANO FRANCISCO</t>
  </si>
  <si>
    <t>AMY DILIANYS KING VEGA</t>
  </si>
  <si>
    <t>AMY RIGUEL PEREZ LEONARDO</t>
  </si>
  <si>
    <t>ANA MARIA CRUZ ALONSO</t>
  </si>
  <si>
    <t xml:space="preserve">ANA MARIA MERCEDES </t>
  </si>
  <si>
    <t>ANA PAOLA SANTANA DE AZA</t>
  </si>
  <si>
    <t>ANABELYS RODRIGUEZ PEREZ</t>
  </si>
  <si>
    <t>ANDRE BRETON</t>
  </si>
  <si>
    <t>ANDREA JOHSEN BAUTISTA</t>
  </si>
  <si>
    <t>ANDRES ABDIAS BARBAUR PEGUERO</t>
  </si>
  <si>
    <t>ANDRES ALEJANDRO DE JESUS GARCIA</t>
  </si>
  <si>
    <t xml:space="preserve">ANDRES ENRIQUE DESCHAMPS </t>
  </si>
  <si>
    <t>4TO</t>
  </si>
  <si>
    <t>ANDRES MISAEL RODRIGUEZ POLANCO</t>
  </si>
  <si>
    <t>ANDRYN DE JESUS GARCIA</t>
  </si>
  <si>
    <t>2009-2010</t>
  </si>
  <si>
    <t>ANDY DAVID DEREZ COTES</t>
  </si>
  <si>
    <t>ANGEL ABDIEL CEDEÑO JIMENEZ</t>
  </si>
  <si>
    <t>ANGEL ABDIEL ROA RIJO</t>
  </si>
  <si>
    <t>ANGEL ALEXIS JIMENEZ ROJAS</t>
  </si>
  <si>
    <t>ANGEL DAVID PAULINO BATISTA</t>
  </si>
  <si>
    <t>ANGEL ELIEL RAMOS FERRAND</t>
  </si>
  <si>
    <t>ANGEL EMMANUEL PEPEN PIMENTEL</t>
  </si>
  <si>
    <t>ANGEL ESTIVEN GUZMAN ALFONSECA</t>
  </si>
  <si>
    <t>2DO</t>
  </si>
  <si>
    <t>ANGEL JAVIER RODRIGUEZ PEREZ</t>
  </si>
  <si>
    <t>ANGEL JOSE PINEDA</t>
  </si>
  <si>
    <t>ANGEL MANUEL MEDINA GARCIA</t>
  </si>
  <si>
    <t>ANGELINA EMILIA CONCEPCION PEGUERO</t>
  </si>
  <si>
    <t>ANGELO ABDIEL RIJO HERRERA</t>
  </si>
  <si>
    <t>ANGHEL JADIEL DE LA CRUZ PAUL</t>
  </si>
  <si>
    <t>ANNABELLY ORLANNE JULIEN ANTOINE</t>
  </si>
  <si>
    <t>APRIL ORIELA HERNANDEZ ARIAS</t>
  </si>
  <si>
    <t>ARGENIS ALBERTO ROSARIO REYES</t>
  </si>
  <si>
    <t>ARIANNY DE LOS SANTOS MARTINEZ</t>
  </si>
  <si>
    <t xml:space="preserve">ARLENYS DE LA CRUZ PERALTA </t>
  </si>
  <si>
    <t>ARLETTE MARIE QUEZADA RODRIGUEZ</t>
  </si>
  <si>
    <t>ARLIN MANUEL SOLANO MARTINEZ</t>
  </si>
  <si>
    <t>ASCHLY CAROLINA MARRELINO RICHIEC</t>
  </si>
  <si>
    <t>ASHENTY ANALIA PEREZ BERROA</t>
  </si>
  <si>
    <t>ASHLEY CHANNEL SANCHEZ GUTIERREZ</t>
  </si>
  <si>
    <t>ASHLEY LISSET PEREZ ROBLES</t>
  </si>
  <si>
    <t>ASHLEY NICOL NIKIFOROV SANCHEZ</t>
  </si>
  <si>
    <t>ASHLIE ESTEPHANIERODRIGUEZVEGA</t>
  </si>
  <si>
    <t xml:space="preserve">ASHLY SERRANO </t>
  </si>
  <si>
    <t xml:space="preserve">ASHLY YELIANNY BRITO </t>
  </si>
  <si>
    <t>AURI CHARLENNI RODRIGUEZ GUERRERO</t>
  </si>
  <si>
    <t>AXEL DANHIEL GONZALEZ CEDEÑO</t>
  </si>
  <si>
    <t>3RO</t>
  </si>
  <si>
    <t>AXEL FERNANDO FELIU MARTE</t>
  </si>
  <si>
    <t xml:space="preserve">AXEL HERNANDEZ FLARIAN </t>
  </si>
  <si>
    <t>AXEL JOEL QUIÑONES CANDELARIO</t>
  </si>
  <si>
    <t>AXEL MOISES BERROA PEREZ</t>
  </si>
  <si>
    <t>AXEL VLADIMIR PEÑA GUERRERO</t>
  </si>
  <si>
    <t>BAYRON DE LA CRUZ SANTANA</t>
  </si>
  <si>
    <t>BENOIT CARLENKY</t>
  </si>
  <si>
    <t>BERNANENES ADRIEN ADRIAN</t>
  </si>
  <si>
    <t>BIEMNIS NAJELY CHARLES DE LA ROSA</t>
  </si>
  <si>
    <t>BRAINEL ENUL LEBRON CESPEDES</t>
  </si>
  <si>
    <t>BRANDON JAIEN MIRANDA</t>
  </si>
  <si>
    <t>BRANDON MAXIMILIANO PONTINI CEDANO</t>
  </si>
  <si>
    <t>BRAYNER JOEL REYES RICHIEZ</t>
  </si>
  <si>
    <t>BRIANNA LORAINE MARCELO COATS</t>
  </si>
  <si>
    <t>BRYAN ADRIEL RIJO RIJO</t>
  </si>
  <si>
    <t>BRYAN AQUILES CEDEÑO JIMENEZ</t>
  </si>
  <si>
    <t>BRYAN EDUARDO SEVERINO CASTRO</t>
  </si>
  <si>
    <t>BRYAN ENMANUEL JIMENEZ MERCEDES</t>
  </si>
  <si>
    <t>BRYNER ENRIQUE BRITO SANTANA</t>
  </si>
  <si>
    <t>F-107</t>
  </si>
  <si>
    <t>CAMELIN DIOLEO</t>
  </si>
  <si>
    <t>F-108</t>
  </si>
  <si>
    <t>CAMILA ALEJANDRA GUZMAN PEÑA</t>
  </si>
  <si>
    <t>F-109</t>
  </si>
  <si>
    <t>CAMILA SAMARA GARCIA</t>
  </si>
  <si>
    <t>F-110</t>
  </si>
  <si>
    <t>CARLA SOPHIA CASTILLO SANCHEZ</t>
  </si>
  <si>
    <t>KINDER</t>
  </si>
  <si>
    <t>F-111</t>
  </si>
  <si>
    <t>CARLENSKY BENOIT</t>
  </si>
  <si>
    <t>F-112</t>
  </si>
  <si>
    <t>CARLOS ADRIAN GOMEZ CEDANO</t>
  </si>
  <si>
    <t>F-113</t>
  </si>
  <si>
    <t>CARLOS DANIEL ORSATELLY VEGA</t>
  </si>
  <si>
    <t>F-114</t>
  </si>
  <si>
    <t>CARLOS GUARIONEX VENAS</t>
  </si>
  <si>
    <t>F-115</t>
  </si>
  <si>
    <t>CARLOS MIGUEL OLIU DE LA CRUZ</t>
  </si>
  <si>
    <t>PRE-PRIMERO</t>
  </si>
  <si>
    <t>CARLOS REIDY PIMENTEL GALVEZ</t>
  </si>
  <si>
    <t>F-117</t>
  </si>
  <si>
    <t>CARMILET GOMEZ AZA</t>
  </si>
  <si>
    <t>F-118</t>
  </si>
  <si>
    <t>CAROL ROSMERLYN TAVAREZ AVELINO</t>
  </si>
  <si>
    <t>F-119</t>
  </si>
  <si>
    <t>CEDRIC BLADIMIR CASTILLO CASTILLO</t>
  </si>
  <si>
    <t>F-120</t>
  </si>
  <si>
    <t>CELINES MARIE TAVAREZ AULINO</t>
  </si>
  <si>
    <t>F-121</t>
  </si>
  <si>
    <t>CESAR ALONSO GUERRERO BUSBY</t>
  </si>
  <si>
    <t>F-122</t>
  </si>
  <si>
    <t>CESAR DAVIS DEL ROSARIO</t>
  </si>
  <si>
    <t>F-123</t>
  </si>
  <si>
    <t>CESAR EMIL ESQUEN RIVAS</t>
  </si>
  <si>
    <t>F-124</t>
  </si>
  <si>
    <t>CESAR JUNIOR RODRIGUEZ ROSARIO</t>
  </si>
  <si>
    <t>F-125</t>
  </si>
  <si>
    <t>CESAR NICOLAS PUELLO ARREDONDO</t>
  </si>
  <si>
    <t>F-126</t>
  </si>
  <si>
    <t>CHANTELL ELIZABETH RODRIGUEZ</t>
  </si>
  <si>
    <t>F-127</t>
  </si>
  <si>
    <t>CHARLIE ISMAEL OCRELA HERRERO</t>
  </si>
  <si>
    <t>F-128</t>
  </si>
  <si>
    <t>CHIRLYN ABIGAIL ANTONIO BASILIO</t>
  </si>
  <si>
    <t>F-129</t>
  </si>
  <si>
    <t>CHISTOFEER OYVIND BAUTISTA</t>
  </si>
  <si>
    <t>F-130</t>
  </si>
  <si>
    <t>CHRISTI MARIE DUVERGES MERCEDES</t>
  </si>
  <si>
    <t>F-131</t>
  </si>
  <si>
    <t>CHRISTOPHER ALBERTO PANIAGUA TORRES</t>
  </si>
  <si>
    <t>F-132</t>
  </si>
  <si>
    <t>COLIN ANDRES MAÑON RODRIGUEZ</t>
  </si>
  <si>
    <t>F-133</t>
  </si>
  <si>
    <t>CRISLEYDY RINCON</t>
  </si>
  <si>
    <t>F-134</t>
  </si>
  <si>
    <t>CRISMEIRY DAHIANA BRITO RODRIGUEZ</t>
  </si>
  <si>
    <t>F-135</t>
  </si>
  <si>
    <t>CRISTAL DESIREE DIAZ RODRIGUEZ</t>
  </si>
  <si>
    <t>F-136</t>
  </si>
  <si>
    <t>CRISTIAN ISSACRICHEZ</t>
  </si>
  <si>
    <t>F-137</t>
  </si>
  <si>
    <t>CRISTIAN MOISES BAEZ REYES</t>
  </si>
  <si>
    <t>F-138</t>
  </si>
  <si>
    <t xml:space="preserve">CRISTIANO CREALES </t>
  </si>
  <si>
    <t>F-139</t>
  </si>
  <si>
    <t>CRISTIANO CREALES UBAIN</t>
  </si>
  <si>
    <t>F-140</t>
  </si>
  <si>
    <t>CRISTOPHER DOMINGO MAYHUESO SANTANA</t>
  </si>
  <si>
    <t>F-141</t>
  </si>
  <si>
    <t>CRISTY MARIE</t>
  </si>
  <si>
    <t>F-142</t>
  </si>
  <si>
    <t>CRYSMEIDI HERRERA GUERRERO</t>
  </si>
  <si>
    <t>F-143</t>
  </si>
  <si>
    <t>DAFNE BENJAMIN NUÑEZ</t>
  </si>
  <si>
    <t>F-144</t>
  </si>
  <si>
    <t>DAINELIS ISABEL ORTEGA VILORIA</t>
  </si>
  <si>
    <t>F-145</t>
  </si>
  <si>
    <t>DALIAH ROSARIO CEDANO</t>
  </si>
  <si>
    <t>F-146</t>
  </si>
  <si>
    <t>DALIS EXCLEL UIBRE DE JESUS</t>
  </si>
  <si>
    <t>F-147</t>
  </si>
  <si>
    <t>DANIEL ALEXANDER CUETO VENTURA</t>
  </si>
  <si>
    <t>F-148</t>
  </si>
  <si>
    <t>DANIEL MONTILLACASTILLO</t>
  </si>
  <si>
    <t>F-149</t>
  </si>
  <si>
    <t>DANNA MIRANDA SHEPHARD SALADIN</t>
  </si>
  <si>
    <t>PRE-KINDER</t>
  </si>
  <si>
    <t>F-150</t>
  </si>
  <si>
    <t>DANNERIS LICIEN ESTEVEZ</t>
  </si>
  <si>
    <t>F-151</t>
  </si>
  <si>
    <t>DANYEL ANTONIO SALADIN PAUL</t>
  </si>
  <si>
    <t>F-152</t>
  </si>
  <si>
    <t>DANZEN HAZAEL GOMEZ CUESTA</t>
  </si>
  <si>
    <t>F-156</t>
  </si>
  <si>
    <t>DARWIN JOSE BRITO CUETO</t>
  </si>
  <si>
    <t>F-153</t>
  </si>
  <si>
    <t>DAVID GARCIA DURAN</t>
  </si>
  <si>
    <t>F-154</t>
  </si>
  <si>
    <t>DEBORA MINERVA PEREZ MARTE</t>
  </si>
  <si>
    <t>F-155</t>
  </si>
  <si>
    <t>DEIMY CASTILLO MALDONADO</t>
  </si>
  <si>
    <t>F-157</t>
  </si>
  <si>
    <t>DEIRIS RACHEL GUERRERO  SANCHEZ</t>
  </si>
  <si>
    <t>F-158</t>
  </si>
  <si>
    <t>DENZEL DE LOS SANTOS NUÑEZ</t>
  </si>
  <si>
    <t>F-159</t>
  </si>
  <si>
    <t>DEREK DIAZ REYNA</t>
  </si>
  <si>
    <t>F-160</t>
  </si>
  <si>
    <t>DERLYN GUSTAVO RODRIGUEZ MARIANO</t>
  </si>
  <si>
    <t>F-161</t>
  </si>
  <si>
    <t>DESIREE ALEXANDRA MARMOLEJOS</t>
  </si>
  <si>
    <t>F-162</t>
  </si>
  <si>
    <t>DEVIDSON FERNANDO RIVAS PEÑA</t>
  </si>
  <si>
    <t>F-163</t>
  </si>
  <si>
    <t>DIANA CAROLINA RODRIGUEZ MAZARA</t>
  </si>
  <si>
    <t>F-164</t>
  </si>
  <si>
    <t>DIANA ISABELLA LOZANO GARCIA</t>
  </si>
  <si>
    <t>F-165</t>
  </si>
  <si>
    <t>DIEGO ALBERMI MARIANO FLAQUER</t>
  </si>
  <si>
    <t>F-166</t>
  </si>
  <si>
    <t>DIEGO ALEJANDRO NUÑEZ SANCHEZ</t>
  </si>
  <si>
    <t>F-167</t>
  </si>
  <si>
    <t>DIEGO ALFONSO BERROA CRUZ</t>
  </si>
  <si>
    <t>F-168</t>
  </si>
  <si>
    <t>DIEGO ANEURIS SHEPHORD SALADIN</t>
  </si>
  <si>
    <t>F-169</t>
  </si>
  <si>
    <t>DIEGO CARLOS REYES CALDERON</t>
  </si>
  <si>
    <t>F-170</t>
  </si>
  <si>
    <t>DISLANDY ESTER ANTONIO BASILIO</t>
  </si>
  <si>
    <t>F-171</t>
  </si>
  <si>
    <t>DORIS MARIELIS JAZMIN CELDA</t>
  </si>
  <si>
    <t>F-172</t>
  </si>
  <si>
    <t>DYLAN ALONSO SORIANO GUERRERO</t>
  </si>
  <si>
    <t>F-173</t>
  </si>
  <si>
    <t>DYLAN ANTONIO SALADIN PAUL</t>
  </si>
  <si>
    <t>F-174</t>
  </si>
  <si>
    <t>DYLAN SEBASTIAN RAMOS LUCIANO</t>
  </si>
  <si>
    <t>F-175</t>
  </si>
  <si>
    <t>EDDY LEONARDO PEREZ MONTERO</t>
  </si>
  <si>
    <t>F-176</t>
  </si>
  <si>
    <t>EDELYN FERMIN MOREL</t>
  </si>
  <si>
    <t>F-177</t>
  </si>
  <si>
    <t>EDER MANUEL FORTUN DONAIS</t>
  </si>
  <si>
    <t>F-178</t>
  </si>
  <si>
    <t>EDRIAM GUARIONEX MENDEZ BERIHUETE</t>
  </si>
  <si>
    <t>F-179</t>
  </si>
  <si>
    <t xml:space="preserve">EDUARD ALEXANDER GUERRERO </t>
  </si>
  <si>
    <t>F-180</t>
  </si>
  <si>
    <t>EDUARD SAMUEL RIJO FONTAL</t>
  </si>
  <si>
    <t>F-183</t>
  </si>
  <si>
    <t>EDUARDO ALEXIS PEREZ JORGE</t>
  </si>
  <si>
    <t>F-181</t>
  </si>
  <si>
    <t>EDUARDO ELIAS CANO CAMASTA</t>
  </si>
  <si>
    <t>F-182</t>
  </si>
  <si>
    <t>EDWARD MISAEL GARRIDO SANCHEZ</t>
  </si>
  <si>
    <t>F-184</t>
  </si>
  <si>
    <t>EILYM MEIVILY REMIGIO</t>
  </si>
  <si>
    <t>F-199</t>
  </si>
  <si>
    <t>EIMY NICOLE GERONIMO ROSARIO</t>
  </si>
  <si>
    <t>F-185</t>
  </si>
  <si>
    <t>ELAINE DANIELA FRIAS BELEN</t>
  </si>
  <si>
    <t>F-186</t>
  </si>
  <si>
    <t>ELANY ANTONIO DESGUE SANCHEZ</t>
  </si>
  <si>
    <t>F-187</t>
  </si>
  <si>
    <t>ELENISBEL RICHARDSON CASTILLO</t>
  </si>
  <si>
    <t>F-188</t>
  </si>
  <si>
    <t>ELI MANUEL GERMAN VALDEZ</t>
  </si>
  <si>
    <t>F-189</t>
  </si>
  <si>
    <t>ELIAN DAVID CHIRENO JALDEZ</t>
  </si>
  <si>
    <t>F-190</t>
  </si>
  <si>
    <t>ELIAN EZEQUIEL DEL ROSARIO ESTRELLA</t>
  </si>
  <si>
    <t>F-191</t>
  </si>
  <si>
    <t>ELIAN MODESTO BATISTA FERNANDEZ</t>
  </si>
  <si>
    <t>PRE-PRIMARIO</t>
  </si>
  <si>
    <t>F-192</t>
  </si>
  <si>
    <t>ELIAN MOISES MONTERO MONTERO</t>
  </si>
  <si>
    <t>F-193</t>
  </si>
  <si>
    <t>ELIAN SANTANA GONZALEZ</t>
  </si>
  <si>
    <t>F-194</t>
  </si>
  <si>
    <t>ELIAS CASTILLO CEDANO</t>
  </si>
  <si>
    <t>F-195</t>
  </si>
  <si>
    <t xml:space="preserve">ELIEZER RODRIGUEZ </t>
  </si>
  <si>
    <t>F-196</t>
  </si>
  <si>
    <t>ELIHER BENJAMIN SANTANA MONTERO</t>
  </si>
  <si>
    <t>F-197</t>
  </si>
  <si>
    <t>ELITHSARA ABIGAIL ARIAS PEÑA</t>
  </si>
  <si>
    <t>F-198</t>
  </si>
  <si>
    <t>EMANUEL AQUILES BELLO</t>
  </si>
  <si>
    <t>F-200</t>
  </si>
  <si>
    <t>EMELY LISSETTE BAEZ</t>
  </si>
  <si>
    <t>F-201</t>
  </si>
  <si>
    <t>EMELY SENADOR GUILAMO</t>
  </si>
  <si>
    <t>F-202</t>
  </si>
  <si>
    <t>EMIL ALEXANDER DE LOS SANTOS LOPEZ</t>
  </si>
  <si>
    <t>F-203</t>
  </si>
  <si>
    <t>EMILY CAMILA CABRERA CRUZ</t>
  </si>
  <si>
    <t>F-204</t>
  </si>
  <si>
    <t>EMILY LOREINE MOLINA CORDERO</t>
  </si>
  <si>
    <t>F-205</t>
  </si>
  <si>
    <t>EMMANUEL DE LA CRUZ GUERRERO</t>
  </si>
  <si>
    <t>F-206</t>
  </si>
  <si>
    <t>EMMANUEL PAUL</t>
  </si>
  <si>
    <t>F-207</t>
  </si>
  <si>
    <t>EMMANUEL REYES MEJIA</t>
  </si>
  <si>
    <t>F-208</t>
  </si>
  <si>
    <t>EMMY ELIZABETH MONTILLA CASTILLO</t>
  </si>
  <si>
    <t>F-209</t>
  </si>
  <si>
    <t>ENGEL CASTRO JAVIER</t>
  </si>
  <si>
    <t>F-210</t>
  </si>
  <si>
    <t>ENMANUEL CASTRO JAVIER</t>
  </si>
  <si>
    <t>F-211</t>
  </si>
  <si>
    <t>ENMANUEL HERRERA BERROA</t>
  </si>
  <si>
    <t>F-212</t>
  </si>
  <si>
    <t>ENMANUEL PEÑA</t>
  </si>
  <si>
    <t>F-213</t>
  </si>
  <si>
    <t>ENULY ALCANTARA DANIELA</t>
  </si>
  <si>
    <t>F-214</t>
  </si>
  <si>
    <t>ERIC ADRIAN CIPRIAN BASTARDO</t>
  </si>
  <si>
    <t>F-215</t>
  </si>
  <si>
    <t>ERICK ANIBAL FERNANDEZ CUEVA</t>
  </si>
  <si>
    <t>F-216</t>
  </si>
  <si>
    <t>ERICK AURELIO LINEW EAUER</t>
  </si>
  <si>
    <t>F-217</t>
  </si>
  <si>
    <t>ERIK MATTHEW ALBERTO</t>
  </si>
  <si>
    <t>F-218</t>
  </si>
  <si>
    <t>ERIKA MARIE WILLIANS</t>
  </si>
  <si>
    <t>F-219</t>
  </si>
  <si>
    <t>ERNESTO ANTONIO MORALES ALVAREZ</t>
  </si>
  <si>
    <t>F-220</t>
  </si>
  <si>
    <t>ESMEISY TARINA RAMIREZ GUERRERO</t>
  </si>
  <si>
    <t>F-221</t>
  </si>
  <si>
    <t>ESTARLIN DANIEL FRIAS BELEN</t>
  </si>
  <si>
    <t>2017-25018</t>
  </si>
  <si>
    <t>F-222</t>
  </si>
  <si>
    <t xml:space="preserve">ESTARLING VARGAS CASTRO </t>
  </si>
  <si>
    <t>F-223</t>
  </si>
  <si>
    <t>ESTEISY REYES GARCIA</t>
  </si>
  <si>
    <t>F-225</t>
  </si>
  <si>
    <t xml:space="preserve">ESTHER ALEXANDRA VILORIA SUFRONT </t>
  </si>
  <si>
    <t>F-224</t>
  </si>
  <si>
    <t>EVA NICOLE RODRIGUEZ POLANCO</t>
  </si>
  <si>
    <t>F-226</t>
  </si>
  <si>
    <t>FABIO RODOLPH CASTILLO BROEWNE</t>
  </si>
  <si>
    <t>F-227</t>
  </si>
  <si>
    <t>FELIX ALEJANDRO DURAN RIJO</t>
  </si>
  <si>
    <t>F-228</t>
  </si>
  <si>
    <t>FELIX SAMUEL RODRIGUEZ BAEZ</t>
  </si>
  <si>
    <t>F-229</t>
  </si>
  <si>
    <t>FELIX STANLEY SANCHEZ SANTOS</t>
  </si>
  <si>
    <t>F-230</t>
  </si>
  <si>
    <t>FERNANDO AUGUSTO RIJO VILLAR</t>
  </si>
  <si>
    <t>F-231</t>
  </si>
  <si>
    <t>FERNANDO MEUDEZ</t>
  </si>
  <si>
    <t>F-232</t>
  </si>
  <si>
    <t>FLOR ESTER RIJO FONTAL</t>
  </si>
  <si>
    <t>F-233</t>
  </si>
  <si>
    <t>FRANCIS ERNESTO ACEVEDO SANTANA</t>
  </si>
  <si>
    <t>F-234</t>
  </si>
  <si>
    <t>FRANCISCO ELIAN CASTILLO HERRERA</t>
  </si>
  <si>
    <t>F-235</t>
  </si>
  <si>
    <t>FRANK ANTONIO</t>
  </si>
  <si>
    <t>F-236</t>
  </si>
  <si>
    <t>FRANYELI RODRIGUEZ DEL ROSARIO</t>
  </si>
  <si>
    <t>F-237</t>
  </si>
  <si>
    <t>FREDERIK LIRIANO RODRIGUEZ</t>
  </si>
  <si>
    <t>F-238</t>
  </si>
  <si>
    <t>GABRIEL ALEXANDER ROSARIO REYES</t>
  </si>
  <si>
    <t>F-239</t>
  </si>
  <si>
    <t>GABRIELA ALEJANDRA BREA RIJO</t>
  </si>
  <si>
    <t>F-240</t>
  </si>
  <si>
    <t>GABRIELA LEONARDO GUILERMO</t>
  </si>
  <si>
    <t>F-241</t>
  </si>
  <si>
    <t xml:space="preserve">GENESIS MARIEL RAFAEL MARIBEL </t>
  </si>
  <si>
    <t>F-242</t>
  </si>
  <si>
    <t>GENESIS WILKIARA DONAIS HERRERA</t>
  </si>
  <si>
    <t>F-244</t>
  </si>
  <si>
    <t>GEORGE ISMAEL CASTILLO RODRIGUEZ</t>
  </si>
  <si>
    <t>F-245</t>
  </si>
  <si>
    <t>GERAMY CAMIL GOMEZ</t>
  </si>
  <si>
    <t>F-246</t>
  </si>
  <si>
    <t>GIAMGALORIEL VIDA SABTOS</t>
  </si>
  <si>
    <t>F-247</t>
  </si>
  <si>
    <t>GISMEIRY FERMIN MOREL</t>
  </si>
  <si>
    <t>F-248</t>
  </si>
  <si>
    <t>GLORIA MARTINEZ BAUTISTA</t>
  </si>
  <si>
    <t>F-249</t>
  </si>
  <si>
    <t>GLORY GRISEL UBIERA DULUC</t>
  </si>
  <si>
    <t>F-250</t>
  </si>
  <si>
    <t>GRACIELA ELIZABETH SANTANA SANCHEZ</t>
  </si>
  <si>
    <t>F-251</t>
  </si>
  <si>
    <t>GRAETTAN DAVID ROBELIN</t>
  </si>
  <si>
    <t>F-252</t>
  </si>
  <si>
    <t>GREGORY ALLEN RODRIGUEZ PAULINO</t>
  </si>
  <si>
    <t>F-253</t>
  </si>
  <si>
    <t>GUSTAVO RENE LEONARDO</t>
  </si>
  <si>
    <t>F-254</t>
  </si>
  <si>
    <t>HAMILTON ZAHIR PUJOLS CASTILLO</t>
  </si>
  <si>
    <t>F-255</t>
  </si>
  <si>
    <t>HANZEL DE LOS SANTOS NUÑEZ</t>
  </si>
  <si>
    <t>F-256</t>
  </si>
  <si>
    <t>HARVEY STEPHAN VANDERSHORST</t>
  </si>
  <si>
    <t>F-257</t>
  </si>
  <si>
    <t>HECTOR JULIO PUELLO NUÑEZ</t>
  </si>
  <si>
    <t>F-258</t>
  </si>
  <si>
    <t>HECTOR XAHEL EUSTAQUIO AVILA</t>
  </si>
  <si>
    <t>F-259</t>
  </si>
  <si>
    <t>HEFZI-BAH AVILA SEVERINO</t>
  </si>
  <si>
    <t>F-260</t>
  </si>
  <si>
    <t>HEILY ESTER MESIDA GONZALES</t>
  </si>
  <si>
    <t>F-261</t>
  </si>
  <si>
    <t>HELANI NATHACHA DEL JESUS RIJO</t>
  </si>
  <si>
    <t>F-262</t>
  </si>
  <si>
    <t>HELENE GABRIELA TIBURCIO ANA</t>
  </si>
  <si>
    <t>F-263</t>
  </si>
  <si>
    <t>HENRY EDWARD DE OLEO</t>
  </si>
  <si>
    <t>F-264</t>
  </si>
  <si>
    <t>HEURY ESTEBAN MESIDO GONZALEZ</t>
  </si>
  <si>
    <t>F-265</t>
  </si>
  <si>
    <t>HILARI ARLENE RODRIGUEZ</t>
  </si>
  <si>
    <t>F-266</t>
  </si>
  <si>
    <t>HONEY LOUIS QUETEN</t>
  </si>
  <si>
    <t>F-267</t>
  </si>
  <si>
    <t>IAN FRANCISCO CAPELLAN ENCARNACION</t>
  </si>
  <si>
    <t>F-268</t>
  </si>
  <si>
    <t>IAN SEBASTIAN LEONARDO SALOMON</t>
  </si>
  <si>
    <t>F-269</t>
  </si>
  <si>
    <t>ILIANA MARIE PAREDES</t>
  </si>
  <si>
    <t>F-270</t>
  </si>
  <si>
    <t>ILIANNA LISBETTE ARAUJO GARCIA</t>
  </si>
  <si>
    <t>F-271</t>
  </si>
  <si>
    <t>INDRIRA NELSON CORPORAN</t>
  </si>
  <si>
    <t>F-272</t>
  </si>
  <si>
    <t>IRENE CAMILA DIAZ RODRIGUEZ</t>
  </si>
  <si>
    <t>F-273</t>
  </si>
  <si>
    <t>ISABEL BAUTISTA MARTINEZ</t>
  </si>
  <si>
    <t>F-274</t>
  </si>
  <si>
    <t>ISABELLA MARIE RODRIGUEZ KING</t>
  </si>
  <si>
    <t>F-275</t>
  </si>
  <si>
    <t>ISMAEL DE LEON YOUNG</t>
  </si>
  <si>
    <t>F-276</t>
  </si>
  <si>
    <t>ISORYS NAYADETH SANTANA FIGUEROA</t>
  </si>
  <si>
    <t>F-277</t>
  </si>
  <si>
    <t>IVERSON ARTURO DE LA CRUZ SANCHEZ</t>
  </si>
  <si>
    <t>F-278</t>
  </si>
  <si>
    <t>IVONNE AILYN CANDELARIO BERAS</t>
  </si>
  <si>
    <t>F-279</t>
  </si>
  <si>
    <t>JABES BENJAMING BALTAZAR MONSAC</t>
  </si>
  <si>
    <t>F-280</t>
  </si>
  <si>
    <t>JACOB ISAAC MORALES</t>
  </si>
  <si>
    <t>F-282</t>
  </si>
  <si>
    <t>JADE NAZOMI GOMEZ RIVERA</t>
  </si>
  <si>
    <t>F-284</t>
  </si>
  <si>
    <t xml:space="preserve">JADEN EMMANUEL COLOME SANTILLAN </t>
  </si>
  <si>
    <t>F-285</t>
  </si>
  <si>
    <t>JAGDIEL ARTURO DE LA CRUZ</t>
  </si>
  <si>
    <t>F-286</t>
  </si>
  <si>
    <t>JAKIARIS ALEXANDRA DERES ACEVEDA</t>
  </si>
  <si>
    <t>F-287</t>
  </si>
  <si>
    <t>JANICE MERCEDES ALEJANDRA LUNA MONTILLA</t>
  </si>
  <si>
    <t>F-288</t>
  </si>
  <si>
    <t>JARO ALEJANDRO MADRID FOENDA</t>
  </si>
  <si>
    <t>F-289</t>
  </si>
  <si>
    <t>JAZBERLYN MAYRENI LUNA CESPEDES</t>
  </si>
  <si>
    <t>F-290</t>
  </si>
  <si>
    <t>JAZHIR ISMAEL PION RUIZ</t>
  </si>
  <si>
    <t>F-291</t>
  </si>
  <si>
    <t xml:space="preserve">JEAN MARTIN DE JESUS </t>
  </si>
  <si>
    <t>F-292</t>
  </si>
  <si>
    <t>JEANCARCLOS CASTILLO RUBIROSA</t>
  </si>
  <si>
    <t>F-293</t>
  </si>
  <si>
    <t>JEFERLI JEANNETTE</t>
  </si>
  <si>
    <t>F-294</t>
  </si>
  <si>
    <t>JEFFREY ALEXANDER DE OLEO MEDINA</t>
  </si>
  <si>
    <t>F-295</t>
  </si>
  <si>
    <t>JEILYN SANTANA DEL ORDEN</t>
  </si>
  <si>
    <t>F-296</t>
  </si>
  <si>
    <t>JENNIFER ALINA MARTINEZ DE OLEO</t>
  </si>
  <si>
    <t>F-297</t>
  </si>
  <si>
    <t>JEREMY DE LA CRUZ GUERRERO</t>
  </si>
  <si>
    <t>F-298</t>
  </si>
  <si>
    <t>JEREMY USBALDO UBIERA</t>
  </si>
  <si>
    <t>5TO</t>
  </si>
  <si>
    <t>F-299</t>
  </si>
  <si>
    <t>JERICO MONAU MONAU ALMERO</t>
  </si>
  <si>
    <t>F-300</t>
  </si>
  <si>
    <t>JERVE RODRIGUEZ BENITEZ</t>
  </si>
  <si>
    <t>F-301</t>
  </si>
  <si>
    <t xml:space="preserve">JESSY ANELIS </t>
  </si>
  <si>
    <t>F-302</t>
  </si>
  <si>
    <t>JESTHEN JOHAN DELGADO MEJIA</t>
  </si>
  <si>
    <t>F-303</t>
  </si>
  <si>
    <t>JESUS ANTONIO MEDINA GARCIA</t>
  </si>
  <si>
    <t>F-304</t>
  </si>
  <si>
    <t>JESUS MANUEL CEBALLOS POLANCO</t>
  </si>
  <si>
    <t>F-305</t>
  </si>
  <si>
    <t>JEURY REYNALDO AVILA MERCEDES</t>
  </si>
  <si>
    <t>F-306</t>
  </si>
  <si>
    <t>JIMMY ALEXANDER DE LOS SANTOS GARRIDO</t>
  </si>
  <si>
    <t>F-307</t>
  </si>
  <si>
    <t>JISMAIRI ALEJANDRA AUGUSTO SEVERINO</t>
  </si>
  <si>
    <t>F-308</t>
  </si>
  <si>
    <t>JOAN ANTONIO MEDINA</t>
  </si>
  <si>
    <t>F-309</t>
  </si>
  <si>
    <t>JOEL GEREMIA CASTILLO ORTIZ</t>
  </si>
  <si>
    <t>F-310</t>
  </si>
  <si>
    <t>JOEL ISAAC GUERRERO FRANCO</t>
  </si>
  <si>
    <t>F-311</t>
  </si>
  <si>
    <t>JOHAM FRANCISCO DIAZ ALVARADO</t>
  </si>
  <si>
    <t>F-312</t>
  </si>
  <si>
    <t>JOHANCER STEVEN BELIZARIO AVILES</t>
  </si>
  <si>
    <t>F-313</t>
  </si>
  <si>
    <t>JOHANDER ENMANUEL TERRERO TERRERO</t>
  </si>
  <si>
    <t>F-314</t>
  </si>
  <si>
    <t>JOHANDER RAFAEL DEL ROSARIO</t>
  </si>
  <si>
    <t>F-315</t>
  </si>
  <si>
    <t xml:space="preserve">JOHANNA MILAGROS </t>
  </si>
  <si>
    <t>F-316</t>
  </si>
  <si>
    <t>JONAS RICK MAURICIO</t>
  </si>
  <si>
    <t>F-334</t>
  </si>
  <si>
    <t>JORDANIEL RAMIREZ MARTIR</t>
  </si>
  <si>
    <t>F-317</t>
  </si>
  <si>
    <t>JOSANDRY MANUEL CUETO SANTANA</t>
  </si>
  <si>
    <t>F-318</t>
  </si>
  <si>
    <t>JOSE ALEJANDRO DIAZ ALVARADO</t>
  </si>
  <si>
    <t>F-319</t>
  </si>
  <si>
    <t>JOSE ANGEL MENDEZ BRITO</t>
  </si>
  <si>
    <t>F-320</t>
  </si>
  <si>
    <t>JOSE ANIBAL MARTINEZ DE OLEO</t>
  </si>
  <si>
    <t>F-321</t>
  </si>
  <si>
    <t>JOSE BOTELLO RIJO</t>
  </si>
  <si>
    <t>F-322</t>
  </si>
  <si>
    <t>JOSE JUAN CANELA OLEAGA</t>
  </si>
  <si>
    <t>F-323</t>
  </si>
  <si>
    <t>JOSE LUIS CRUZ ALONO</t>
  </si>
  <si>
    <t>F-324</t>
  </si>
  <si>
    <t>JOSE RAFAEL POLANCO SALCEDO</t>
  </si>
  <si>
    <t>F-325</t>
  </si>
  <si>
    <t>JOSE SAMUEL BAEZ SANTANA</t>
  </si>
  <si>
    <t>F-326</t>
  </si>
  <si>
    <t>JOSEPH LUIS MARMOLEJOS</t>
  </si>
  <si>
    <t>F-327</t>
  </si>
  <si>
    <t>JOSEPHY SOPHIA LUIS DE JESUS</t>
  </si>
  <si>
    <t>F-333</t>
  </si>
  <si>
    <t>JOSH AIDAN ROMERO MORALES</t>
  </si>
  <si>
    <t>F-328</t>
  </si>
  <si>
    <t>JOSHUA ERCARNCACION CIPRIAN</t>
  </si>
  <si>
    <t>F-329</t>
  </si>
  <si>
    <t>JOSHUA LEXI CONCEPCION</t>
  </si>
  <si>
    <t>F-330</t>
  </si>
  <si>
    <t>JOSHUA MARTINEZ MARTINRZ</t>
  </si>
  <si>
    <t>F-331</t>
  </si>
  <si>
    <t>JOSHUAR ALBERTO EUSEBIO POLANCO</t>
  </si>
  <si>
    <t>F-332</t>
  </si>
  <si>
    <t>JUAN ANDRAJ JIMENEZ SALCEDO</t>
  </si>
  <si>
    <t>F-335</t>
  </si>
  <si>
    <t>JUAN SEBASTIAN PAULINO POLANCO</t>
  </si>
  <si>
    <t>F-336</t>
  </si>
  <si>
    <t xml:space="preserve">JULEINY CHAL GIL </t>
  </si>
  <si>
    <t>F-337</t>
  </si>
  <si>
    <t>JULIAN DAVID SHAL GIL</t>
  </si>
  <si>
    <t>F-338</t>
  </si>
  <si>
    <t>JULIANY AIMAR BATISTA REYES</t>
  </si>
  <si>
    <t>F-339</t>
  </si>
  <si>
    <t>JUSTIN ALEXANDER SANTANA MORALES</t>
  </si>
  <si>
    <t>F-340</t>
  </si>
  <si>
    <t>JUSTIN EDUARDO MEJIA DIAZ</t>
  </si>
  <si>
    <t>F-341</t>
  </si>
  <si>
    <t>JUSTIN YADIEL PUJOLES MENDEZ</t>
  </si>
  <si>
    <t>F-342</t>
  </si>
  <si>
    <t>KAHTLEEN LISMAR CORPORAN NUÑEZ</t>
  </si>
  <si>
    <t>F-343</t>
  </si>
  <si>
    <t>KAREN ELIANNA SANCHEZ ALCANTARA</t>
  </si>
  <si>
    <t>F-344</t>
  </si>
  <si>
    <t>KARIN ISAAC EMILIO MOREL</t>
  </si>
  <si>
    <t>F-345</t>
  </si>
  <si>
    <t>KARIN OMAR EMILIO MOREL</t>
  </si>
  <si>
    <t>F-346</t>
  </si>
  <si>
    <t>KARLA MARIELI MORALES</t>
  </si>
  <si>
    <t>F-347</t>
  </si>
  <si>
    <t>KATE ISABELLA MERCEDES DEL RIO</t>
  </si>
  <si>
    <t>F-348</t>
  </si>
  <si>
    <t xml:space="preserve">KATY GARCIA </t>
  </si>
  <si>
    <t>F-349</t>
  </si>
  <si>
    <t>KAURY FRANCHESKA CEBALLOS</t>
  </si>
  <si>
    <t>F-350</t>
  </si>
  <si>
    <t>KEIFEL JOELDRISS DE LA ROSA</t>
  </si>
  <si>
    <t>F-352</t>
  </si>
  <si>
    <t>KEITLYNN SANCHEZ BELISARIO</t>
  </si>
  <si>
    <t>F-354</t>
  </si>
  <si>
    <t>KEREN CHANELY SALDAÑA MERCEDES</t>
  </si>
  <si>
    <t>F-355</t>
  </si>
  <si>
    <t>KEVIN ANTHONIO DE LA CRUZ CASTILLO</t>
  </si>
  <si>
    <t>F-356</t>
  </si>
  <si>
    <t>KEYDEN ADONIZ HERNANDEZ RODRIGUEZ</t>
  </si>
  <si>
    <t>F-357</t>
  </si>
  <si>
    <t>KEYSY ESMARLIN HIERRO RODRIGUEZ</t>
  </si>
  <si>
    <t>F-358</t>
  </si>
  <si>
    <t>KHALIL ALBERTO PEÑA RAMIRE</t>
  </si>
  <si>
    <t>F-359</t>
  </si>
  <si>
    <t>KHLOE DIVINA TEJEDA CRUZ</t>
  </si>
  <si>
    <t>F-360</t>
  </si>
  <si>
    <t>KIANA ESTHER MORALES JIMENEZ</t>
  </si>
  <si>
    <t>F-361</t>
  </si>
  <si>
    <t>KIARA MARIANNE AVILA SEVERINO</t>
  </si>
  <si>
    <t>F-362</t>
  </si>
  <si>
    <t>KIARA MARIE DONAIS HERRERA</t>
  </si>
  <si>
    <t>F-363</t>
  </si>
  <si>
    <t>KRYSTAL MARIE SANTO</t>
  </si>
  <si>
    <t>F-364</t>
  </si>
  <si>
    <t>KYANA ESTHER ALTAGRACIA</t>
  </si>
  <si>
    <t>F-351</t>
  </si>
  <si>
    <t>LAILA SOFIA ANGLADA JIMENEZ</t>
  </si>
  <si>
    <t>F-365</t>
  </si>
  <si>
    <t>LAURA BETSAIRYS PAULINO POLANCO</t>
  </si>
  <si>
    <t>F-366</t>
  </si>
  <si>
    <t>LAURA MARIA CEBALLOS MATOS</t>
  </si>
  <si>
    <t>F-367</t>
  </si>
  <si>
    <t>LAURA MARIE GERVACIO CUETO</t>
  </si>
  <si>
    <t>F-368</t>
  </si>
  <si>
    <t>LAURELIS CHANNEL LANTIGUA</t>
  </si>
  <si>
    <t>F-369</t>
  </si>
  <si>
    <t>LAURY CHANTAL HERRERA</t>
  </si>
  <si>
    <t>F-370</t>
  </si>
  <si>
    <t>LEANNY CORAL RAMIREZ MERCEDEA</t>
  </si>
  <si>
    <t>F-371</t>
  </si>
  <si>
    <t>LEIDY ALEJANDRA DE OLEO MEDINA</t>
  </si>
  <si>
    <t>F-372</t>
  </si>
  <si>
    <t>LEIDY INELISSE RODRIGUEZ BAG</t>
  </si>
  <si>
    <t>F-373</t>
  </si>
  <si>
    <t>LENNY ADRIAN MERCEDES ZORRILLA</t>
  </si>
  <si>
    <t>F-374</t>
  </si>
  <si>
    <t>LENNY JUNIOR MERCEDES ZORRILLA</t>
  </si>
  <si>
    <t>F-375</t>
  </si>
  <si>
    <t>LEONARDO ANTONIO RAMIREZ MERCEDEZ</t>
  </si>
  <si>
    <t>1RO</t>
  </si>
  <si>
    <t>F-376</t>
  </si>
  <si>
    <t>LEONARDO MIGUELCALVAJAL TEJEDA</t>
  </si>
  <si>
    <t>F-377</t>
  </si>
  <si>
    <t>LESLIE NASHELLY TORRES PEÑA</t>
  </si>
  <si>
    <t>F-378</t>
  </si>
  <si>
    <t>LHUNA ESTEBANIA CAYETANO GUERRERO</t>
  </si>
  <si>
    <t>F-379</t>
  </si>
  <si>
    <t>LIANDRA QUEZADA CRUZ</t>
  </si>
  <si>
    <t>F-380</t>
  </si>
  <si>
    <t>LIANNA AIMEE LOZANO GARCIA</t>
  </si>
  <si>
    <t>F-381</t>
  </si>
  <si>
    <t>LILIAN MARIEL SANTANA CASTRO</t>
  </si>
  <si>
    <t>F-382</t>
  </si>
  <si>
    <t>LILIBETH GARCIA</t>
  </si>
  <si>
    <t>F-383</t>
  </si>
  <si>
    <t>LIRIANNY CONTRERA ALCANTARA</t>
  </si>
  <si>
    <t>F-384</t>
  </si>
  <si>
    <t>LISANDRA AIMAR KING MOTA</t>
  </si>
  <si>
    <t>F-385</t>
  </si>
  <si>
    <t>LIZ MAYBEL VALERIO PISTILLO</t>
  </si>
  <si>
    <t>F-386</t>
  </si>
  <si>
    <t>LIZBETH HILARIO FEBLES</t>
  </si>
  <si>
    <t>KINDEL</t>
  </si>
  <si>
    <t>F-387</t>
  </si>
  <si>
    <t>LORENA ESTHER GARCIA DE AZA</t>
  </si>
  <si>
    <t>2015-2019</t>
  </si>
  <si>
    <t>F-388</t>
  </si>
  <si>
    <t>LORENTE DENUELA HUMT NIEVES</t>
  </si>
  <si>
    <t>F-389</t>
  </si>
  <si>
    <t>LORRAINE SALSEL RIJO AREA</t>
  </si>
  <si>
    <t>F-390</t>
  </si>
  <si>
    <t>LUCAS HENRIQUEZ RICHIEZ</t>
  </si>
  <si>
    <t>F-391</t>
  </si>
  <si>
    <t>LUCIA VICTORIA HORALES ALVAREZ</t>
  </si>
  <si>
    <t>F-392</t>
  </si>
  <si>
    <t>LUIS JOSE SOTO HERNANDEZ</t>
  </si>
  <si>
    <t>F-393</t>
  </si>
  <si>
    <t>LUIS MIGUEL ORTEGA CORDERO</t>
  </si>
  <si>
    <t>F-394</t>
  </si>
  <si>
    <t>LUIS XAVIER ACOSTA PRENCIA</t>
  </si>
  <si>
    <t>F-395</t>
  </si>
  <si>
    <t>LURNNY SOTO HERNANDEZ</t>
  </si>
  <si>
    <t>F-396</t>
  </si>
  <si>
    <t>LUZ ARISMEHILY DEVERS ACEVEDO</t>
  </si>
  <si>
    <t>F-397</t>
  </si>
  <si>
    <t>LUZ MAYLING DIAZ BATISTA</t>
  </si>
  <si>
    <t>F-398</t>
  </si>
  <si>
    <t>MABEL NICOL APONTE FELIZ</t>
  </si>
  <si>
    <t>F-399</t>
  </si>
  <si>
    <t>MAILYN KAMILA PEÑA SILVA</t>
  </si>
  <si>
    <t>F-400</t>
  </si>
  <si>
    <t>MANUEL ALFONSO SAMBO CEDEÑO</t>
  </si>
  <si>
    <t>F-401</t>
  </si>
  <si>
    <t>MANUEL JOSE NUÑEZ LUGO</t>
  </si>
  <si>
    <t>F-402</t>
  </si>
  <si>
    <t>MARCOS ANTONIO CASTILLO RODRIGUEZ</t>
  </si>
  <si>
    <t>F-403</t>
  </si>
  <si>
    <t>MARCOS MARIANO PERDONO</t>
  </si>
  <si>
    <t>F-404</t>
  </si>
  <si>
    <t>MARCOS MARTINEZ BAUTISTA</t>
  </si>
  <si>
    <t>F-405</t>
  </si>
  <si>
    <t>MARIA ALEJANDRA ROSARIO DEL ROSARIO</t>
  </si>
  <si>
    <t>F-406</t>
  </si>
  <si>
    <t>MARIA ALEZANDRA BREA RIJO</t>
  </si>
  <si>
    <t>2012-2014</t>
  </si>
  <si>
    <t>F-407</t>
  </si>
  <si>
    <t>MARIA DEL CARME PION RIJO</t>
  </si>
  <si>
    <t>F-408</t>
  </si>
  <si>
    <t>MARIA MERCEDES DUVERGES MERCEDES</t>
  </si>
  <si>
    <t>F-409</t>
  </si>
  <si>
    <t>MARIA TERESA PINEDA</t>
  </si>
  <si>
    <t>F-410</t>
  </si>
  <si>
    <t>MARIANNE AQUILINO MARTHA</t>
  </si>
  <si>
    <t>F-411</t>
  </si>
  <si>
    <t>MARIELA RAMIREZ MARTIR</t>
  </si>
  <si>
    <t>F-412</t>
  </si>
  <si>
    <t>MARIO AUSTO MEJIA RODRIGUEZ</t>
  </si>
  <si>
    <t>F-413</t>
  </si>
  <si>
    <t>MARIO ERICKSON RAMIREZ GUERRERO</t>
  </si>
  <si>
    <t>F-414</t>
  </si>
  <si>
    <t>MARIO ISRAEL LEONARDO MAYANS</t>
  </si>
  <si>
    <t>F-415</t>
  </si>
  <si>
    <t>MARIO RODRIGUIEZ HERNANDEZ</t>
  </si>
  <si>
    <t>F-416</t>
  </si>
  <si>
    <t>MARLEN JOSEFINA POLANCO ENCARNACION</t>
  </si>
  <si>
    <t>F-417</t>
  </si>
  <si>
    <t>MARLENY BATISTA HERRERA</t>
  </si>
  <si>
    <t>F-418</t>
  </si>
  <si>
    <t>MARLON ALFONSO PINALES SALOMON</t>
  </si>
  <si>
    <t>F-419</t>
  </si>
  <si>
    <t xml:space="preserve">MARLYN DIMAREN RASHELL </t>
  </si>
  <si>
    <t>F-420</t>
  </si>
  <si>
    <t>MATHEW ALEXANDER MARTINEZ BLANCO</t>
  </si>
  <si>
    <t>F-421</t>
  </si>
  <si>
    <t>MATHEWS ABREU GUZMAN</t>
  </si>
  <si>
    <t>F-422</t>
  </si>
  <si>
    <t>MATIAS NICOLAS APONTE FELIZ</t>
  </si>
  <si>
    <t>F-423</t>
  </si>
  <si>
    <t>MAXIMO GASTON POTENTINI CEDANO</t>
  </si>
  <si>
    <t>F-424</t>
  </si>
  <si>
    <t>MAYCOR ALEXANDER MARTINEZ AZOR</t>
  </si>
  <si>
    <t>F-425</t>
  </si>
  <si>
    <t>MELANY MICHELLE JIMENEZ CORDONES</t>
  </si>
  <si>
    <t>F-426</t>
  </si>
  <si>
    <t>MEYLEN LAYESHKA CONTRERAS GUZMAN</t>
  </si>
  <si>
    <t>F-427</t>
  </si>
  <si>
    <t>MICHAEL AARON CEDEÑO VELEZ</t>
  </si>
  <si>
    <t>F-428</t>
  </si>
  <si>
    <t>MICHAEL ALEXANDER SANCHEZ GUERRERO</t>
  </si>
  <si>
    <t>F-429</t>
  </si>
  <si>
    <t>MICHAEL ALEXIS GONZALES CEDEÑO</t>
  </si>
  <si>
    <t>F-430</t>
  </si>
  <si>
    <t>MICHAEL MANZANILLO APONTE</t>
  </si>
  <si>
    <t>F-431</t>
  </si>
  <si>
    <t>MICHAEL SEBASTIAN GUERRERO VEGA</t>
  </si>
  <si>
    <t>F-432</t>
  </si>
  <si>
    <t>MIGUEL ANDRES PERALTA HIDALGO</t>
  </si>
  <si>
    <t>F-433</t>
  </si>
  <si>
    <t xml:space="preserve">MIGUEL EDUARDO MORALES MORALES </t>
  </si>
  <si>
    <t>F-434</t>
  </si>
  <si>
    <t>MIRANDA MARIA MORALES</t>
  </si>
  <si>
    <t>F-435</t>
  </si>
  <si>
    <t>MOSES ERIK ALBERTO MEJIA</t>
  </si>
  <si>
    <t>F-436</t>
  </si>
  <si>
    <t>MYA MARJORIE BELTRE BERROA</t>
  </si>
  <si>
    <t>F-437</t>
  </si>
  <si>
    <t>NAIDELIN NICOLE BATISTA</t>
  </si>
  <si>
    <t>F-438</t>
  </si>
  <si>
    <t>NALLELY BAYLIN MATIO DE LA CRUZ</t>
  </si>
  <si>
    <t>F-439</t>
  </si>
  <si>
    <t>NASHLA GALIT GARCIA</t>
  </si>
  <si>
    <t>F-440</t>
  </si>
  <si>
    <t>NASHLY CAMILA SIERRA ALCANTARA</t>
  </si>
  <si>
    <t>F-441</t>
  </si>
  <si>
    <t>NAYDELIN MARIEL GENENGTON PERAL</t>
  </si>
  <si>
    <t>F-442</t>
  </si>
  <si>
    <t>NEFTALI GABRIEL SAIN ANTONIO</t>
  </si>
  <si>
    <t>F-443</t>
  </si>
  <si>
    <t>NELLY SHERWOOD PAUL SANON</t>
  </si>
  <si>
    <t>F-444</t>
  </si>
  <si>
    <t>NELSON SEBASTIAN LLUBERES RICHARDSON</t>
  </si>
  <si>
    <t>F-445</t>
  </si>
  <si>
    <t>NEURYS DAVID VELASQUEZ PEGUER</t>
  </si>
  <si>
    <t>F-446</t>
  </si>
  <si>
    <t>NICOLAS MORALES MORALES</t>
  </si>
  <si>
    <t>F-448</t>
  </si>
  <si>
    <t>NICOLE  MAYRE BREA RIJO</t>
  </si>
  <si>
    <t>F-447</t>
  </si>
  <si>
    <t>NICOLE ALEXANDRA REYES JIMENEZ</t>
  </si>
  <si>
    <t>F-449</t>
  </si>
  <si>
    <t>NICOLE LEUGIM RIJO MERCEDES</t>
  </si>
  <si>
    <t>F-450</t>
  </si>
  <si>
    <t>NICOLE SALOME REYES REYES</t>
  </si>
  <si>
    <t>F-451</t>
  </si>
  <si>
    <t>NICOLE SARATH LINEWEAVER</t>
  </si>
  <si>
    <t>F-452</t>
  </si>
  <si>
    <t>NOHELY CAMELIA MARTINEZ BAEZ</t>
  </si>
  <si>
    <t>F-453</t>
  </si>
  <si>
    <t>OLIVER ANIBAL DEL ROSARIO SANTOS</t>
  </si>
  <si>
    <t>F-454</t>
  </si>
  <si>
    <t>OMAR ALEJANDRO RODRIGUEZ ROSARIO</t>
  </si>
  <si>
    <t>F-455</t>
  </si>
  <si>
    <t>OMAYRIS CORALI RODRIGUEZ ROSARIO</t>
  </si>
  <si>
    <t>F-456</t>
  </si>
  <si>
    <t>ORIANY DEL ROSARIO SANTOS</t>
  </si>
  <si>
    <t>F-457</t>
  </si>
  <si>
    <t>ORNALIS ALFONSECA VALERIO</t>
  </si>
  <si>
    <t>F-458</t>
  </si>
  <si>
    <t>OSMEL FABRIZIO OLEA PEREZ</t>
  </si>
  <si>
    <t>F-459</t>
  </si>
  <si>
    <t>OSVALDO ADRIAN MERCEDES EDUARDO</t>
  </si>
  <si>
    <t>F-460</t>
  </si>
  <si>
    <t>PAMELA BASTISTA POLANCO</t>
  </si>
  <si>
    <t>F-461</t>
  </si>
  <si>
    <t>PAOLA FRANCHESKA TAMAREZ SANCHEZ</t>
  </si>
  <si>
    <t>F-462</t>
  </si>
  <si>
    <t>PAOLA MATINE DE LOS SANTOS</t>
  </si>
  <si>
    <t>F-463</t>
  </si>
  <si>
    <t>PEDRO JOSE MORALES DE LA CRUZ</t>
  </si>
  <si>
    <t>F-464</t>
  </si>
  <si>
    <t>PERLA MASIEL BELTRE</t>
  </si>
  <si>
    <t>2005-2006</t>
  </si>
  <si>
    <t>F-465</t>
  </si>
  <si>
    <t>PETER ALEJANDRO TRALL DEL ROSARIO</t>
  </si>
  <si>
    <t>F-466</t>
  </si>
  <si>
    <t>PRINCE DARIEL INOCENCIO</t>
  </si>
  <si>
    <t>F-467</t>
  </si>
  <si>
    <t>RAMON AMILIAR BAEZ PEREZ</t>
  </si>
  <si>
    <t>F-469</t>
  </si>
  <si>
    <t>RASHELLE ELVIRA AVILA MARTINEZ</t>
  </si>
  <si>
    <t>F-470</t>
  </si>
  <si>
    <t>RASHID NAMIR MATAR AQUINO</t>
  </si>
  <si>
    <t>F-471</t>
  </si>
  <si>
    <t>RAYN RAMON ORTIZ</t>
  </si>
  <si>
    <t>F-472</t>
  </si>
  <si>
    <t>RAYNER ALEXANDER TAPIA VILORIA</t>
  </si>
  <si>
    <t>F-473</t>
  </si>
  <si>
    <t>RAYNER SANCHEZ CORDERO</t>
  </si>
  <si>
    <t>F-474</t>
  </si>
  <si>
    <t>REICHELL JAEL GERMOSEN PADILLA</t>
  </si>
  <si>
    <t>F-475</t>
  </si>
  <si>
    <t>REILIS JOSUE LEGER PHILLIPS</t>
  </si>
  <si>
    <t>F-476</t>
  </si>
  <si>
    <t>REYNIZ LUNA DIAZ</t>
  </si>
  <si>
    <t>F-477</t>
  </si>
  <si>
    <t>RICHARD DAVID ISAAC MARTES</t>
  </si>
  <si>
    <t>F-478</t>
  </si>
  <si>
    <t>RICHARD ISAAC MORA GONZALES</t>
  </si>
  <si>
    <t>F-479</t>
  </si>
  <si>
    <t>RINER ALEXANDER TAPIA VILORIA</t>
  </si>
  <si>
    <t>F-480</t>
  </si>
  <si>
    <t>ROBERT BEBEKH</t>
  </si>
  <si>
    <t>F-481</t>
  </si>
  <si>
    <t>ROBERTO SANTOS ARIAS</t>
  </si>
  <si>
    <t>F-482</t>
  </si>
  <si>
    <t>RONEILIZ RANCELIS HIDALGO RIBEIRO</t>
  </si>
  <si>
    <t>F-483</t>
  </si>
  <si>
    <t>RONNY OTONIEL TAVAREZ AVELINO</t>
  </si>
  <si>
    <t>F-484</t>
  </si>
  <si>
    <t>RONY VENTURA COLOME</t>
  </si>
  <si>
    <t>F-485</t>
  </si>
  <si>
    <t>ROSALY DINGLE ALFONSECA</t>
  </si>
  <si>
    <t>F-486</t>
  </si>
  <si>
    <t>ROSMEILYN ESMERALDA AUELINO</t>
  </si>
  <si>
    <t>F-487</t>
  </si>
  <si>
    <t>ROSSAURYS RODRIGUEZ RIJO</t>
  </si>
  <si>
    <t>F-488</t>
  </si>
  <si>
    <t>ROSSENAILYS ARGENTINA BERROA PAREDES</t>
  </si>
  <si>
    <t>F-489</t>
  </si>
  <si>
    <t xml:space="preserve">RUSSERT EDUARDO PEREZ </t>
  </si>
  <si>
    <t>F-490</t>
  </si>
  <si>
    <t>RUTH ESTHER</t>
  </si>
  <si>
    <t>F-491</t>
  </si>
  <si>
    <t>RYAN AUNER RUIZ JAMONIE</t>
  </si>
  <si>
    <t>F-492</t>
  </si>
  <si>
    <t>SAID EDUARDO DE LA ROSA HERRERA</t>
  </si>
  <si>
    <t>F-493</t>
  </si>
  <si>
    <t>SAILYK CODERO DE LA CRUZ</t>
  </si>
  <si>
    <t>F-494</t>
  </si>
  <si>
    <t xml:space="preserve">SAIMERY MICHELL RUIZ MERCEDES </t>
  </si>
  <si>
    <t>F-495</t>
  </si>
  <si>
    <t>SAMUEL SEVERINO RODRIGUEZ</t>
  </si>
  <si>
    <t>F-496</t>
  </si>
  <si>
    <t>SARA PAOLA SOLER BELLO</t>
  </si>
  <si>
    <t>F-497</t>
  </si>
  <si>
    <t>SARA ROSE CEDEÑO POZO</t>
  </si>
  <si>
    <t>F-498</t>
  </si>
  <si>
    <t xml:space="preserve">SARAI BETHEHZALIE TAPIA VIOLRTA </t>
  </si>
  <si>
    <t>F-507</t>
  </si>
  <si>
    <t>SARAI MARIE HERRERO NENCIA</t>
  </si>
  <si>
    <t>F-499</t>
  </si>
  <si>
    <t>SCARLET JERENNIS CHASLES DE LA ROSA</t>
  </si>
  <si>
    <t>F-500</t>
  </si>
  <si>
    <t>SCARLET YUDITH SANCHEZ SANTOS</t>
  </si>
  <si>
    <t>F-501</t>
  </si>
  <si>
    <t>SEBASTIAN ANTONIO MENDOZA FAULKNER</t>
  </si>
  <si>
    <t>F-502</t>
  </si>
  <si>
    <t>SHAIHONY FRANCISCA VASQUEZ ACEVEDO</t>
  </si>
  <si>
    <t>F-503</t>
  </si>
  <si>
    <t>SHAILINE GRULLON NUÑEZ</t>
  </si>
  <si>
    <t>F-504</t>
  </si>
  <si>
    <t>SHANELL ROSARIO BRITO</t>
  </si>
  <si>
    <t>F-505</t>
  </si>
  <si>
    <t>SKAY KAYNA SANEAUX UBIERA</t>
  </si>
  <si>
    <t>F-506</t>
  </si>
  <si>
    <t>SKERLING KATY</t>
  </si>
  <si>
    <t>F-513</t>
  </si>
  <si>
    <t>SOL AMERICA RAMIREZ GIL</t>
  </si>
  <si>
    <t>F-508</t>
  </si>
  <si>
    <t>SOLEMNY ABIGAIL CRUZ GARCIA</t>
  </si>
  <si>
    <t>F-509</t>
  </si>
  <si>
    <t>SOPHIA GREGORIO GONZALEZ SANTOS</t>
  </si>
  <si>
    <t>F-510</t>
  </si>
  <si>
    <t>STANLEY ANDRES CARPIAN GARCIA</t>
  </si>
  <si>
    <t>F-511</t>
  </si>
  <si>
    <t>STARLIN BENJAMIN DEL ROSARIO OSORIO</t>
  </si>
  <si>
    <t>F-512</t>
  </si>
  <si>
    <t>STARLING JAVIER SANTANA DE LA CRUZ</t>
  </si>
  <si>
    <t>F-514</t>
  </si>
  <si>
    <t>STARSKY DAVID ORTIZ SALDIN</t>
  </si>
  <si>
    <t>F-515</t>
  </si>
  <si>
    <t xml:space="preserve">STEFANY ANDREINA SANCHEZ SANTANA </t>
  </si>
  <si>
    <t>F-516</t>
  </si>
  <si>
    <t>F-517</t>
  </si>
  <si>
    <t>SUSAN ESTHER GERMOSEN PADILLA</t>
  </si>
  <si>
    <t>F-518</t>
  </si>
  <si>
    <t>THAIS JANABEL RICHARSON RIJO</t>
  </si>
  <si>
    <t>F-519</t>
  </si>
  <si>
    <t>TIFFANY DE OLEO MUNOZ</t>
  </si>
  <si>
    <t>F-520</t>
  </si>
  <si>
    <t>VALERIA MARIA RODRIGUEZ MENDOZA</t>
  </si>
  <si>
    <t>F-522</t>
  </si>
  <si>
    <t>VALERIA SUJEL NUÑEZ CEDEÑO</t>
  </si>
  <si>
    <t>6TO</t>
  </si>
  <si>
    <t>F-521</t>
  </si>
  <si>
    <t>VAYELIN MICHEL RODRIGUEZ BENITEZ</t>
  </si>
  <si>
    <t>F-523</t>
  </si>
  <si>
    <t>VIANGEL RAFAELHEREDIA ALBERTO</t>
  </si>
  <si>
    <t>F-524</t>
  </si>
  <si>
    <t>VIANNI VALERIA ORTEGA VILORIA</t>
  </si>
  <si>
    <t>F-525</t>
  </si>
  <si>
    <t>VICTOR DIETSH RAMIREZ</t>
  </si>
  <si>
    <t>F-526</t>
  </si>
  <si>
    <t>VICTOR JOSE ROSARIO MEDINA</t>
  </si>
  <si>
    <t>F-527</t>
  </si>
  <si>
    <t>VICTOR YOHANSE PERALTA MERCEDES</t>
  </si>
  <si>
    <t>F-528</t>
  </si>
  <si>
    <t>VICTORIA ISABEL ROSSO CASTILLO</t>
  </si>
  <si>
    <t>F-529</t>
  </si>
  <si>
    <t xml:space="preserve">WALKIRIA EUNICE </t>
  </si>
  <si>
    <t>F-530</t>
  </si>
  <si>
    <t>WANYELI AZA MORALES</t>
  </si>
  <si>
    <t>F-531</t>
  </si>
  <si>
    <t>WILBER JOEL GOMEZ GERALDO</t>
  </si>
  <si>
    <t>F-532</t>
  </si>
  <si>
    <t>WILLIAMS CEBALLOS SANTANA</t>
  </si>
  <si>
    <t>F-533</t>
  </si>
  <si>
    <t>YADIER ALEXANDER RONDON MONEGRO</t>
  </si>
  <si>
    <t>F-534</t>
  </si>
  <si>
    <t>YANIDY FRANCISCO POLANCO</t>
  </si>
  <si>
    <t>F-535</t>
  </si>
  <si>
    <t>YANIEL ANTONIO CAMINO BENITEZ</t>
  </si>
  <si>
    <t>F-536</t>
  </si>
  <si>
    <t>YANIMAR TERESA SANCHEZ BONIFACIO</t>
  </si>
  <si>
    <t>F-537</t>
  </si>
  <si>
    <t>YARITZA JOSEFINA RIVERA BATISTA</t>
  </si>
  <si>
    <t>F-538</t>
  </si>
  <si>
    <t>YASMIN ELEANOR RODELIN</t>
  </si>
  <si>
    <t>F-539</t>
  </si>
  <si>
    <t xml:space="preserve">YASSER DHIMES GARCIAS </t>
  </si>
  <si>
    <t>F-540</t>
  </si>
  <si>
    <t>YEILEIXY BRITO SALADIN</t>
  </si>
  <si>
    <t>F-541</t>
  </si>
  <si>
    <t>YENNIFER DAVIS DEL ROSARIO</t>
  </si>
  <si>
    <t>F-546</t>
  </si>
  <si>
    <t>YEREMI ALEXANDER BALY GIL</t>
  </si>
  <si>
    <t>F-542</t>
  </si>
  <si>
    <t>YERNANDY SAMUEL AMARILIS</t>
  </si>
  <si>
    <t>F-543</t>
  </si>
  <si>
    <t>YING HAO LIANG ZHENG</t>
  </si>
  <si>
    <t>F-544</t>
  </si>
  <si>
    <t>YING QI</t>
  </si>
  <si>
    <t>F-545</t>
  </si>
  <si>
    <t>YINGYI LIANG ZHENG</t>
  </si>
  <si>
    <t>F-547</t>
  </si>
  <si>
    <t>YONAN REGNER PEREZ PEREZ</t>
  </si>
  <si>
    <t>F-548</t>
  </si>
  <si>
    <t>YORGELIS NAHOMI QUESTEL CASTILLO</t>
  </si>
  <si>
    <t>F-549</t>
  </si>
  <si>
    <t>ZOE MONTSERRAT AMANCIO CAMINO</t>
  </si>
  <si>
    <t>F-550</t>
  </si>
  <si>
    <t>ZOENY RUIZ RODRIGUEZ</t>
  </si>
  <si>
    <t>F-551</t>
  </si>
  <si>
    <t>DAVID ELIAH DE GARCIA MOTA</t>
  </si>
  <si>
    <t>LIANDRA CORDERO CARVAJAL</t>
  </si>
  <si>
    <t>SOCRATE DANIEL DE JESUS PEÑA</t>
  </si>
  <si>
    <t>F-552</t>
  </si>
  <si>
    <t>SULLY ESTHER ROCHE MARTINEZ</t>
  </si>
  <si>
    <t xml:space="preserve">JUAN ADOLFO BERROA RODRIGUEZ </t>
  </si>
  <si>
    <t>SOFIA FRANCHESCA CASTRO RODRIGUEZ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</si>
</sst>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color rgb="FF0070C0"/>
      <name val="Calibri"/>
      <family val="2"/>
      <scheme val="minor"/>
    </font>
    <font>
      <sz val="28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14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5943FB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</borders>
  <cellStyleXfs count="2">
    <xf numFmtId="0" fontId="0" fillId="0" borderId="0"/>
    <xf numFmtId="0" fontId="13" fillId="0" borderId="0"/>
  </cellStyleXfs>
  <cellXfs count="120">
    <xf numFmtId="0" fontId="0" fillId="0" borderId="0" xfId="0"/>
    <xf numFmtId="0" fontId="0" fillId="2" borderId="0" xfId="0" applyFill="1"/>
    <xf numFmtId="0" fontId="0" fillId="5" borderId="0" xfId="0" applyFill="1"/>
    <xf numFmtId="0" fontId="1" fillId="6" borderId="1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/>
    </xf>
    <xf numFmtId="0" fontId="5" fillId="4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1" fillId="10" borderId="0" xfId="0" applyFont="1" applyFill="1" applyAlignment="1">
      <alignment horizontal="center"/>
    </xf>
    <xf numFmtId="0" fontId="6" fillId="10" borderId="0" xfId="0" applyFont="1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8" fillId="3" borderId="4" xfId="0" applyFont="1" applyFill="1" applyBorder="1"/>
    <xf numFmtId="0" fontId="8" fillId="3" borderId="3" xfId="0" applyFont="1" applyFill="1" applyBorder="1"/>
    <xf numFmtId="0" fontId="8" fillId="0" borderId="5" xfId="0" applyFont="1" applyBorder="1"/>
    <xf numFmtId="0" fontId="8" fillId="0" borderId="4" xfId="0" applyFont="1" applyBorder="1"/>
    <xf numFmtId="0" fontId="8" fillId="0" borderId="11" xfId="0" applyFont="1" applyBorder="1"/>
    <xf numFmtId="0" fontId="8" fillId="0" borderId="0" xfId="0" applyFont="1"/>
    <xf numFmtId="0" fontId="9" fillId="0" borderId="12" xfId="0" applyFont="1" applyBorder="1"/>
    <xf numFmtId="0" fontId="9" fillId="0" borderId="3" xfId="0" applyFont="1" applyBorder="1"/>
    <xf numFmtId="0" fontId="9" fillId="0" borderId="5" xfId="0" applyFont="1" applyBorder="1"/>
    <xf numFmtId="0" fontId="8" fillId="0" borderId="3" xfId="0" applyFont="1" applyBorder="1"/>
    <xf numFmtId="0" fontId="9" fillId="0" borderId="15" xfId="0" applyFont="1" applyBorder="1"/>
    <xf numFmtId="0" fontId="9" fillId="0" borderId="11" xfId="0" applyFont="1" applyBorder="1"/>
    <xf numFmtId="0" fontId="9" fillId="0" borderId="6" xfId="0" applyFont="1" applyBorder="1"/>
    <xf numFmtId="0" fontId="8" fillId="3" borderId="3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9" fillId="0" borderId="4" xfId="0" applyFont="1" applyBorder="1"/>
    <xf numFmtId="0" fontId="9" fillId="0" borderId="8" xfId="0" applyFont="1" applyBorder="1"/>
    <xf numFmtId="0" fontId="9" fillId="0" borderId="1" xfId="0" applyFont="1" applyBorder="1"/>
    <xf numFmtId="0" fontId="9" fillId="0" borderId="3" xfId="0" applyFont="1" applyBorder="1" applyAlignment="1">
      <alignment horizontal="center"/>
    </xf>
    <xf numFmtId="0" fontId="8" fillId="4" borderId="0" xfId="0" applyFont="1" applyFill="1"/>
    <xf numFmtId="0" fontId="9" fillId="0" borderId="3" xfId="0" applyFont="1" applyBorder="1" applyAlignment="1">
      <alignment horizontal="left"/>
    </xf>
    <xf numFmtId="0" fontId="9" fillId="0" borderId="7" xfId="0" applyFont="1" applyBorder="1"/>
    <xf numFmtId="0" fontId="9" fillId="0" borderId="5" xfId="0" applyFont="1" applyBorder="1" applyAlignment="1">
      <alignment horizontal="left"/>
    </xf>
    <xf numFmtId="0" fontId="1" fillId="6" borderId="3" xfId="0" applyFont="1" applyFill="1" applyBorder="1"/>
    <xf numFmtId="0" fontId="0" fillId="14" borderId="0" xfId="0" applyFill="1"/>
    <xf numFmtId="0" fontId="8" fillId="3" borderId="9" xfId="0" applyFont="1" applyFill="1" applyBorder="1" applyAlignment="1">
      <alignment horizontal="left"/>
    </xf>
    <xf numFmtId="0" fontId="1" fillId="6" borderId="16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0" fontId="8" fillId="6" borderId="3" xfId="0" applyFont="1" applyFill="1" applyBorder="1" applyAlignment="1">
      <alignment horizontal="center"/>
    </xf>
    <xf numFmtId="0" fontId="8" fillId="6" borderId="3" xfId="0" applyFont="1" applyFill="1" applyBorder="1"/>
    <xf numFmtId="0" fontId="0" fillId="15" borderId="0" xfId="0" applyFill="1"/>
    <xf numFmtId="0" fontId="1" fillId="15" borderId="0" xfId="0" applyFont="1" applyFill="1" applyAlignment="1">
      <alignment horizontal="center"/>
    </xf>
    <xf numFmtId="0" fontId="2" fillId="15" borderId="0" xfId="0" applyFont="1" applyFill="1"/>
    <xf numFmtId="0" fontId="1" fillId="0" borderId="3" xfId="0" applyFont="1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9" fillId="3" borderId="3" xfId="0" applyFont="1" applyFill="1" applyBorder="1"/>
    <xf numFmtId="0" fontId="9" fillId="3" borderId="5" xfId="0" applyFont="1" applyFill="1" applyBorder="1"/>
    <xf numFmtId="0" fontId="10" fillId="0" borderId="3" xfId="0" applyFont="1" applyBorder="1"/>
    <xf numFmtId="0" fontId="8" fillId="0" borderId="17" xfId="0" applyFont="1" applyBorder="1"/>
    <xf numFmtId="0" fontId="9" fillId="0" borderId="4" xfId="0" applyFont="1" applyBorder="1" applyAlignment="1">
      <alignment horizontal="left"/>
    </xf>
    <xf numFmtId="0" fontId="0" fillId="4" borderId="0" xfId="0" applyFill="1"/>
    <xf numFmtId="0" fontId="9" fillId="0" borderId="17" xfId="0" applyFont="1" applyBorder="1"/>
    <xf numFmtId="0" fontId="8" fillId="0" borderId="21" xfId="1" applyFont="1" applyBorder="1"/>
    <xf numFmtId="0" fontId="8" fillId="0" borderId="22" xfId="1" applyFont="1" applyBorder="1"/>
    <xf numFmtId="0" fontId="8" fillId="0" borderId="18" xfId="1" applyFont="1" applyBorder="1"/>
    <xf numFmtId="0" fontId="8" fillId="0" borderId="4" xfId="1" applyFont="1" applyBorder="1"/>
    <xf numFmtId="0" fontId="8" fillId="0" borderId="3" xfId="1" applyFont="1" applyBorder="1"/>
    <xf numFmtId="0" fontId="8" fillId="0" borderId="4" xfId="1" applyFont="1" applyBorder="1" applyAlignment="1">
      <alignment vertical="center" wrapText="1"/>
    </xf>
    <xf numFmtId="0" fontId="8" fillId="0" borderId="3" xfId="1" applyFont="1" applyBorder="1" applyAlignment="1">
      <alignment vertical="center" wrapText="1"/>
    </xf>
    <xf numFmtId="0" fontId="8" fillId="0" borderId="4" xfId="1" applyFont="1" applyBorder="1" applyAlignment="1">
      <alignment horizontal="left"/>
    </xf>
    <xf numFmtId="0" fontId="8" fillId="0" borderId="18" xfId="0" applyFont="1" applyBorder="1"/>
    <xf numFmtId="0" fontId="8" fillId="0" borderId="19" xfId="0" applyFont="1" applyBorder="1"/>
    <xf numFmtId="0" fontId="8" fillId="0" borderId="18" xfId="1" applyFont="1" applyBorder="1" applyAlignment="1">
      <alignment horizontal="left"/>
    </xf>
    <xf numFmtId="0" fontId="8" fillId="0" borderId="18" xfId="1" applyFont="1" applyBorder="1" applyAlignment="1">
      <alignment vertical="center" wrapText="1"/>
    </xf>
    <xf numFmtId="0" fontId="8" fillId="0" borderId="18" xfId="0" applyFont="1" applyBorder="1" applyAlignment="1">
      <alignment horizontal="left"/>
    </xf>
    <xf numFmtId="0" fontId="8" fillId="0" borderId="19" xfId="1" applyFont="1" applyBorder="1"/>
    <xf numFmtId="0" fontId="8" fillId="0" borderId="21" xfId="0" applyFont="1" applyBorder="1"/>
    <xf numFmtId="0" fontId="8" fillId="0" borderId="22" xfId="0" applyFont="1" applyBorder="1"/>
    <xf numFmtId="0" fontId="8" fillId="0" borderId="2" xfId="0" applyFont="1" applyBorder="1"/>
    <xf numFmtId="0" fontId="8" fillId="0" borderId="6" xfId="0" applyFont="1" applyBorder="1"/>
    <xf numFmtId="0" fontId="1" fillId="15" borderId="3" xfId="0" applyFont="1" applyFill="1" applyBorder="1"/>
    <xf numFmtId="0" fontId="12" fillId="15" borderId="3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3" xfId="0" applyFont="1" applyFill="1" applyBorder="1"/>
    <xf numFmtId="0" fontId="16" fillId="0" borderId="3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0" fillId="16" borderId="0" xfId="0" applyFill="1"/>
    <xf numFmtId="0" fontId="1" fillId="16" borderId="1" xfId="0" applyFont="1" applyFill="1" applyBorder="1" applyAlignment="1">
      <alignment horizontal="center"/>
    </xf>
    <xf numFmtId="0" fontId="1" fillId="16" borderId="3" xfId="0" applyFont="1" applyFill="1" applyBorder="1" applyAlignment="1">
      <alignment horizontal="center"/>
    </xf>
    <xf numFmtId="0" fontId="1" fillId="16" borderId="3" xfId="0" applyFont="1" applyFill="1" applyBorder="1"/>
    <xf numFmtId="0" fontId="9" fillId="0" borderId="13" xfId="0" applyFont="1" applyBorder="1" applyAlignment="1">
      <alignment horizontal="center"/>
    </xf>
    <xf numFmtId="0" fontId="9" fillId="0" borderId="1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0" fillId="17" borderId="0" xfId="0" applyFill="1"/>
    <xf numFmtId="0" fontId="1" fillId="17" borderId="1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7" borderId="3" xfId="0" applyFont="1" applyFill="1" applyBorder="1"/>
    <xf numFmtId="0" fontId="8" fillId="0" borderId="0" xfId="0" applyFont="1" applyAlignment="1">
      <alignment horizontal="center"/>
    </xf>
    <xf numFmtId="0" fontId="14" fillId="9" borderId="0" xfId="0" applyFont="1" applyFill="1"/>
    <xf numFmtId="0" fontId="1" fillId="15" borderId="1" xfId="0" applyFont="1" applyFill="1" applyBorder="1" applyAlignment="1">
      <alignment horizontal="center"/>
    </xf>
    <xf numFmtId="0" fontId="1" fillId="15" borderId="3" xfId="0" applyFont="1" applyFill="1" applyBorder="1" applyAlignment="1">
      <alignment horizontal="center"/>
    </xf>
    <xf numFmtId="0" fontId="9" fillId="0" borderId="14" xfId="0" applyFont="1" applyBorder="1"/>
    <xf numFmtId="0" fontId="9" fillId="0" borderId="0" xfId="0" applyFont="1"/>
    <xf numFmtId="0" fontId="8" fillId="0" borderId="5" xfId="1" applyFont="1" applyBorder="1"/>
    <xf numFmtId="0" fontId="8" fillId="0" borderId="12" xfId="0" applyFont="1" applyBorder="1"/>
    <xf numFmtId="0" fontId="8" fillId="0" borderId="5" xfId="1" applyFont="1" applyBorder="1" applyAlignment="1">
      <alignment vertical="center" wrapText="1"/>
    </xf>
    <xf numFmtId="0" fontId="8" fillId="0" borderId="12" xfId="1" applyFont="1" applyBorder="1"/>
    <xf numFmtId="0" fontId="8" fillId="0" borderId="12" xfId="1" applyFont="1" applyBorder="1" applyAlignment="1">
      <alignment horizontal="left"/>
    </xf>
    <xf numFmtId="0" fontId="8" fillId="0" borderId="4" xfId="1" applyFont="1" applyBorder="1" applyAlignment="1">
      <alignment horizontal="center"/>
    </xf>
    <xf numFmtId="0" fontId="8" fillId="0" borderId="15" xfId="1" applyFont="1" applyBorder="1"/>
    <xf numFmtId="0" fontId="9" fillId="0" borderId="22" xfId="0" applyFont="1" applyBorder="1"/>
    <xf numFmtId="0" fontId="8" fillId="0" borderId="3" xfId="1" applyFont="1" applyBorder="1" applyAlignment="1">
      <alignment horizontal="center"/>
    </xf>
    <xf numFmtId="0" fontId="8" fillId="0" borderId="20" xfId="1" applyFont="1" applyBorder="1"/>
    <xf numFmtId="0" fontId="8" fillId="0" borderId="7" xfId="0" applyFont="1" applyBorder="1"/>
    <xf numFmtId="0" fontId="9" fillId="0" borderId="18" xfId="0" applyFont="1" applyBorder="1" applyAlignment="1">
      <alignment horizontal="left"/>
    </xf>
    <xf numFmtId="0" fontId="8" fillId="0" borderId="11" xfId="1" applyFont="1" applyBorder="1"/>
    <xf numFmtId="0" fontId="9" fillId="0" borderId="0" xfId="0" applyFont="1" applyBorder="1" applyAlignment="1">
      <alignment horizontal="left"/>
    </xf>
    <xf numFmtId="0" fontId="8" fillId="0" borderId="9" xfId="1" applyFont="1" applyBorder="1" applyAlignment="1">
      <alignment vertical="center" wrapText="1"/>
    </xf>
    <xf numFmtId="0" fontId="9" fillId="0" borderId="7" xfId="0" applyFont="1" applyBorder="1" applyAlignment="1">
      <alignment horizontal="left"/>
    </xf>
    <xf numFmtId="0" fontId="8" fillId="0" borderId="7" xfId="1" applyFont="1" applyBorder="1"/>
  </cellXfs>
  <cellStyles count="2">
    <cellStyle name="Normal" xfId="0" builtinId="0"/>
    <cellStyle name="Normal 2" xfId="1" xr:uid="{5B50F8AF-C6AD-4A04-9079-6A6A4CF363B1}"/>
  </cellStyles>
  <dxfs count="111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outline="0"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z val="14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z val="14"/>
      </font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solid">
          <fgColor indexed="64"/>
          <bgColor rgb="FF00B0F0"/>
        </patternFill>
      </fill>
    </dxf>
  </dxfs>
  <tableStyles count="0" defaultTableStyle="TableStyleMedium2" defaultPivotStyle="PivotStyleLight16"/>
  <colors>
    <mruColors>
      <color rgb="FF0000FF"/>
      <color rgb="FFFF9933"/>
      <color rgb="FF5943FB"/>
      <color rgb="FFCC3300"/>
      <color rgb="FF9966FF"/>
      <color rgb="FF66FF33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116415</xdr:colOff>
      <xdr:row>1</xdr:row>
      <xdr:rowOff>4232</xdr:rowOff>
    </xdr:from>
    <xdr:to>
      <xdr:col>10</xdr:col>
      <xdr:colOff>486833</xdr:colOff>
      <xdr:row>5</xdr:row>
      <xdr:rowOff>42332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78415" y="194732"/>
          <a:ext cx="9884835" cy="8001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3200"/>
            <a:t>MENU DE EXPEDIENTES AÑO</a:t>
          </a:r>
          <a:r>
            <a:rPr lang="es-DO" sz="3200" baseline="0"/>
            <a:t> 2011-2024</a:t>
          </a:r>
          <a:endParaRPr lang="es-DO" sz="3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5</xdr:row>
          <xdr:rowOff>133350</xdr:rowOff>
        </xdr:from>
        <xdr:to>
          <xdr:col>3</xdr:col>
          <xdr:colOff>857250</xdr:colOff>
          <xdr:row>14</xdr:row>
          <xdr:rowOff>180975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5</xdr:row>
          <xdr:rowOff>133350</xdr:rowOff>
        </xdr:from>
        <xdr:to>
          <xdr:col>4</xdr:col>
          <xdr:colOff>1104900</xdr:colOff>
          <xdr:row>14</xdr:row>
          <xdr:rowOff>180975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1314450</xdr:colOff>
          <xdr:row>5</xdr:row>
          <xdr:rowOff>142875</xdr:rowOff>
        </xdr:from>
        <xdr:to>
          <xdr:col>7</xdr:col>
          <xdr:colOff>142875</xdr:colOff>
          <xdr:row>15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5</xdr:row>
          <xdr:rowOff>142875</xdr:rowOff>
        </xdr:from>
        <xdr:to>
          <xdr:col>10</xdr:col>
          <xdr:colOff>390525</xdr:colOff>
          <xdr:row>15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16</xdr:row>
          <xdr:rowOff>38100</xdr:rowOff>
        </xdr:from>
        <xdr:to>
          <xdr:col>3</xdr:col>
          <xdr:colOff>847725</xdr:colOff>
          <xdr:row>25</xdr:row>
          <xdr:rowOff>76200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16</xdr:row>
          <xdr:rowOff>47625</xdr:rowOff>
        </xdr:from>
        <xdr:to>
          <xdr:col>4</xdr:col>
          <xdr:colOff>1104900</xdr:colOff>
          <xdr:row>25</xdr:row>
          <xdr:rowOff>85725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1333500</xdr:colOff>
          <xdr:row>16</xdr:row>
          <xdr:rowOff>47625</xdr:rowOff>
        </xdr:from>
        <xdr:to>
          <xdr:col>7</xdr:col>
          <xdr:colOff>161925</xdr:colOff>
          <xdr:row>25</xdr:row>
          <xdr:rowOff>85725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16</xdr:row>
          <xdr:rowOff>38100</xdr:rowOff>
        </xdr:from>
        <xdr:to>
          <xdr:col>10</xdr:col>
          <xdr:colOff>428625</xdr:colOff>
          <xdr:row>25</xdr:row>
          <xdr:rowOff>57150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26</xdr:row>
          <xdr:rowOff>85725</xdr:rowOff>
        </xdr:from>
        <xdr:to>
          <xdr:col>3</xdr:col>
          <xdr:colOff>838200</xdr:colOff>
          <xdr:row>35</xdr:row>
          <xdr:rowOff>123825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1076325</xdr:colOff>
          <xdr:row>26</xdr:row>
          <xdr:rowOff>95250</xdr:rowOff>
        </xdr:from>
        <xdr:to>
          <xdr:col>4</xdr:col>
          <xdr:colOff>1114425</xdr:colOff>
          <xdr:row>35</xdr:row>
          <xdr:rowOff>123825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2023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26</xdr:row>
          <xdr:rowOff>104775</xdr:rowOff>
        </xdr:from>
        <xdr:to>
          <xdr:col>7</xdr:col>
          <xdr:colOff>180975</xdr:colOff>
          <xdr:row>35</xdr:row>
          <xdr:rowOff>142875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26</xdr:row>
          <xdr:rowOff>104775</xdr:rowOff>
        </xdr:from>
        <xdr:to>
          <xdr:col>10</xdr:col>
          <xdr:colOff>447675</xdr:colOff>
          <xdr:row>35</xdr:row>
          <xdr:rowOff>123825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57149</xdr:colOff>
      <xdr:row>35</xdr:row>
      <xdr:rowOff>179916</xdr:rowOff>
    </xdr:from>
    <xdr:to>
      <xdr:col>10</xdr:col>
      <xdr:colOff>433916</xdr:colOff>
      <xdr:row>38</xdr:row>
      <xdr:rowOff>110066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19149" y="6847416"/>
          <a:ext cx="9891184" cy="5016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3200"/>
            <a:t>MENU DE EXPEDIENTES AÑO</a:t>
          </a:r>
          <a:r>
            <a:rPr lang="es-DO" sz="3200" baseline="0"/>
            <a:t> 2011-2024</a:t>
          </a:r>
          <a:endParaRPr lang="es-DO" sz="3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</xdr:row>
      <xdr:rowOff>238125</xdr:rowOff>
    </xdr:from>
    <xdr:to>
      <xdr:col>2</xdr:col>
      <xdr:colOff>781050</xdr:colOff>
      <xdr:row>5</xdr:row>
      <xdr:rowOff>114300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6200" y="619125"/>
          <a:ext cx="5124450" cy="5048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/>
            <a:t>BUSCADOR</a:t>
          </a:r>
          <a:endParaRPr lang="es-DO" sz="48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19050</xdr:rowOff>
        </xdr:from>
        <xdr:to>
          <xdr:col>5</xdr:col>
          <xdr:colOff>0</xdr:colOff>
          <xdr:row>9</xdr:row>
          <xdr:rowOff>114300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1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7</xdr:row>
          <xdr:rowOff>19050</xdr:rowOff>
        </xdr:from>
        <xdr:to>
          <xdr:col>6</xdr:col>
          <xdr:colOff>9525</xdr:colOff>
          <xdr:row>9</xdr:row>
          <xdr:rowOff>114300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428625</xdr:colOff>
      <xdr:row>2</xdr:row>
      <xdr:rowOff>9525</xdr:rowOff>
    </xdr:from>
    <xdr:to>
      <xdr:col>6</xdr:col>
      <xdr:colOff>790575</xdr:colOff>
      <xdr:row>4</xdr:row>
      <xdr:rowOff>152400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5334000" y="200025"/>
          <a:ext cx="4895850" cy="5810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REGISTRAR EXPEDIENTE</a:t>
          </a:r>
        </a:p>
      </xdr:txBody>
    </xdr:sp>
    <xdr:clientData/>
  </xdr:twoCellAnchor>
  <xdr:twoCellAnchor>
    <xdr:from>
      <xdr:col>0</xdr:col>
      <xdr:colOff>1</xdr:colOff>
      <xdr:row>6</xdr:row>
      <xdr:rowOff>152400</xdr:rowOff>
    </xdr:from>
    <xdr:to>
      <xdr:col>3</xdr:col>
      <xdr:colOff>19051</xdr:colOff>
      <xdr:row>9</xdr:row>
      <xdr:rowOff>190500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" y="1504950"/>
          <a:ext cx="5238750" cy="66675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TABLA DEL</a:t>
          </a:r>
          <a:r>
            <a:rPr lang="es-DO" sz="2800" baseline="0"/>
            <a:t> AÑO ESCOLAR</a:t>
          </a:r>
          <a:endParaRPr lang="es-DO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123825</xdr:rowOff>
        </xdr:from>
        <xdr:to>
          <xdr:col>2</xdr:col>
          <xdr:colOff>790575</xdr:colOff>
          <xdr:row>6</xdr:row>
          <xdr:rowOff>152400</xdr:rowOff>
        </xdr:to>
        <xdr:sp macro="" textlink="">
          <xdr:nvSpPr>
            <xdr:cNvPr id="6161" name="TextBox1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1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7</xdr:col>
          <xdr:colOff>9525</xdr:colOff>
          <xdr:row>9</xdr:row>
          <xdr:rowOff>114300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1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57150</xdr:rowOff>
    </xdr:from>
    <xdr:to>
      <xdr:col>2</xdr:col>
      <xdr:colOff>933450</xdr:colOff>
      <xdr:row>5</xdr:row>
      <xdr:rowOff>133349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28650"/>
          <a:ext cx="4800600" cy="46672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/>
            <a:t>BUSCADOR</a:t>
          </a:r>
          <a:endParaRPr lang="es-DO" sz="4800" baseline="0"/>
        </a:p>
      </xdr:txBody>
    </xdr:sp>
    <xdr:clientData/>
  </xdr:twoCellAnchor>
  <xdr:twoCellAnchor>
    <xdr:from>
      <xdr:col>3</xdr:col>
      <xdr:colOff>228600</xdr:colOff>
      <xdr:row>2</xdr:row>
      <xdr:rowOff>0</xdr:rowOff>
    </xdr:from>
    <xdr:to>
      <xdr:col>7</xdr:col>
      <xdr:colOff>9525</xdr:colOff>
      <xdr:row>4</xdr:row>
      <xdr:rowOff>190500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057775" y="381000"/>
          <a:ext cx="5038725" cy="5715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REGISTRAR EXPEDIENTE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19050</xdr:rowOff>
        </xdr:from>
        <xdr:to>
          <xdr:col>4</xdr:col>
          <xdr:colOff>2457450</xdr:colOff>
          <xdr:row>9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19050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7</xdr:col>
          <xdr:colOff>0</xdr:colOff>
          <xdr:row>9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6</xdr:row>
      <xdr:rowOff>133350</xdr:rowOff>
    </xdr:from>
    <xdr:to>
      <xdr:col>3</xdr:col>
      <xdr:colOff>0</xdr:colOff>
      <xdr:row>9</xdr:row>
      <xdr:rowOff>171450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0" y="1495425"/>
          <a:ext cx="4829175" cy="66675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TABLA DEL</a:t>
          </a:r>
          <a:r>
            <a:rPr lang="es-DO" sz="2800" baseline="0"/>
            <a:t> AÑO ESCOLAR</a:t>
          </a:r>
          <a:endParaRPr lang="es-DO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142875</xdr:rowOff>
        </xdr:from>
        <xdr:to>
          <xdr:col>2</xdr:col>
          <xdr:colOff>847725</xdr:colOff>
          <xdr:row>6</xdr:row>
          <xdr:rowOff>114300</xdr:rowOff>
        </xdr:to>
        <xdr:sp macro="" textlink="">
          <xdr:nvSpPr>
            <xdr:cNvPr id="8199" name="TextBox1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161925</xdr:rowOff>
    </xdr:from>
    <xdr:to>
      <xdr:col>3</xdr:col>
      <xdr:colOff>19050</xdr:colOff>
      <xdr:row>5</xdr:row>
      <xdr:rowOff>238124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733425"/>
          <a:ext cx="4933950" cy="466724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>
              <a:solidFill>
                <a:schemeClr val="tx1"/>
              </a:solidFill>
            </a:rPr>
            <a:t>BUSCADOR</a:t>
          </a:r>
          <a:endParaRPr lang="es-DO" sz="48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257176</xdr:colOff>
      <xdr:row>1</xdr:row>
      <xdr:rowOff>133350</xdr:rowOff>
    </xdr:from>
    <xdr:to>
      <xdr:col>7</xdr:col>
      <xdr:colOff>38100</xdr:colOff>
      <xdr:row>4</xdr:row>
      <xdr:rowOff>161925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24451" y="133350"/>
          <a:ext cx="4867274" cy="6000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REGISTRAR</a:t>
          </a:r>
          <a:r>
            <a:rPr lang="es-DO" sz="2800"/>
            <a:t> </a:t>
          </a:r>
          <a:r>
            <a:rPr lang="es-DO" sz="2800" b="1">
              <a:solidFill>
                <a:schemeClr val="tx1"/>
              </a:solidFill>
            </a:rPr>
            <a:t>EXPEDIENTE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9525</xdr:rowOff>
        </xdr:from>
        <xdr:to>
          <xdr:col>5</xdr:col>
          <xdr:colOff>0</xdr:colOff>
          <xdr:row>9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9525</xdr:rowOff>
        </xdr:from>
        <xdr:to>
          <xdr:col>5</xdr:col>
          <xdr:colOff>1590675</xdr:colOff>
          <xdr:row>9</xdr:row>
          <xdr:rowOff>9525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9525</xdr:rowOff>
        </xdr:from>
        <xdr:to>
          <xdr:col>7</xdr:col>
          <xdr:colOff>19050</xdr:colOff>
          <xdr:row>9</xdr:row>
          <xdr:rowOff>9525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7</xdr:row>
      <xdr:rowOff>28575</xdr:rowOff>
    </xdr:from>
    <xdr:to>
      <xdr:col>3</xdr:col>
      <xdr:colOff>9525</xdr:colOff>
      <xdr:row>9</xdr:row>
      <xdr:rowOff>171450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0" y="1581150"/>
          <a:ext cx="4876800" cy="523875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TABLA DEL</a:t>
          </a:r>
          <a:r>
            <a:rPr lang="es-DO" sz="2800" b="1" baseline="0">
              <a:solidFill>
                <a:schemeClr val="tx1"/>
              </a:solidFill>
            </a:rPr>
            <a:t> AÑO ESCOLAR</a:t>
          </a:r>
          <a:endParaRPr lang="es-DO" sz="28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247650</xdr:rowOff>
        </xdr:from>
        <xdr:to>
          <xdr:col>3</xdr:col>
          <xdr:colOff>0</xdr:colOff>
          <xdr:row>7</xdr:row>
          <xdr:rowOff>28575</xdr:rowOff>
        </xdr:to>
        <xdr:sp macro="" textlink="">
          <xdr:nvSpPr>
            <xdr:cNvPr id="9221" name="TextBox1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152399</xdr:rowOff>
    </xdr:from>
    <xdr:to>
      <xdr:col>2</xdr:col>
      <xdr:colOff>1114425</xdr:colOff>
      <xdr:row>9</xdr:row>
      <xdr:rowOff>180974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1457324"/>
          <a:ext cx="5029200" cy="6572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TABLA DEL</a:t>
          </a:r>
          <a:r>
            <a:rPr lang="es-DO" sz="2800" b="1" baseline="0">
              <a:solidFill>
                <a:schemeClr val="tx1"/>
              </a:solidFill>
            </a:rPr>
            <a:t> AÑO ESCOLAR</a:t>
          </a:r>
          <a:endParaRPr lang="es-DO" sz="28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28575</xdr:rowOff>
    </xdr:from>
    <xdr:to>
      <xdr:col>2</xdr:col>
      <xdr:colOff>1095375</xdr:colOff>
      <xdr:row>5</xdr:row>
      <xdr:rowOff>104774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600075"/>
          <a:ext cx="5010150" cy="46672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>
              <a:solidFill>
                <a:schemeClr val="tx1"/>
              </a:solidFill>
            </a:rPr>
            <a:t>BUSCADOR</a:t>
          </a:r>
          <a:endParaRPr lang="es-DO" sz="48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2</xdr:row>
      <xdr:rowOff>28577</xdr:rowOff>
    </xdr:from>
    <xdr:to>
      <xdr:col>6</xdr:col>
      <xdr:colOff>761999</xdr:colOff>
      <xdr:row>4</xdr:row>
      <xdr:rowOff>190501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429250" y="409577"/>
          <a:ext cx="4781549" cy="54292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REGISTRAR EXPEDIENTE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114300</xdr:rowOff>
        </xdr:from>
        <xdr:to>
          <xdr:col>2</xdr:col>
          <xdr:colOff>1104900</xdr:colOff>
          <xdr:row>6</xdr:row>
          <xdr:rowOff>142875</xdr:rowOff>
        </xdr:to>
        <xdr:sp macro="" textlink="">
          <xdr:nvSpPr>
            <xdr:cNvPr id="11265" name="TextBox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5</xdr:col>
          <xdr:colOff>0</xdr:colOff>
          <xdr:row>9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2409825</xdr:colOff>
          <xdr:row>7</xdr:row>
          <xdr:rowOff>9525</xdr:rowOff>
        </xdr:from>
        <xdr:to>
          <xdr:col>5</xdr:col>
          <xdr:colOff>1590675</xdr:colOff>
          <xdr:row>9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1600200</xdr:colOff>
          <xdr:row>7</xdr:row>
          <xdr:rowOff>19050</xdr:rowOff>
        </xdr:from>
        <xdr:to>
          <xdr:col>7</xdr:col>
          <xdr:colOff>19050</xdr:colOff>
          <xdr:row>9</xdr:row>
          <xdr:rowOff>9525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85725</xdr:rowOff>
    </xdr:from>
    <xdr:to>
      <xdr:col>3</xdr:col>
      <xdr:colOff>19050</xdr:colOff>
      <xdr:row>4</xdr:row>
      <xdr:rowOff>171449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466725"/>
          <a:ext cx="5343525" cy="466724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>
              <a:solidFill>
                <a:schemeClr val="bg1"/>
              </a:solidFill>
            </a:rPr>
            <a:t>BUSCADOR</a:t>
          </a:r>
          <a:endParaRPr lang="es-DO" sz="48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285751</xdr:colOff>
      <xdr:row>1</xdr:row>
      <xdr:rowOff>28576</xdr:rowOff>
    </xdr:from>
    <xdr:to>
      <xdr:col>7</xdr:col>
      <xdr:colOff>9525</xdr:colOff>
      <xdr:row>4</xdr:row>
      <xdr:rowOff>76200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619751" y="219076"/>
          <a:ext cx="4829174" cy="619124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REGISTRAR EXPEDIENTE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180975</xdr:rowOff>
        </xdr:from>
        <xdr:to>
          <xdr:col>3</xdr:col>
          <xdr:colOff>9525</xdr:colOff>
          <xdr:row>6</xdr:row>
          <xdr:rowOff>9525</xdr:rowOff>
        </xdr:to>
        <xdr:sp macro="" textlink="">
          <xdr:nvSpPr>
            <xdr:cNvPr id="13313" name="Text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6</xdr:row>
      <xdr:rowOff>28576</xdr:rowOff>
    </xdr:from>
    <xdr:to>
      <xdr:col>2</xdr:col>
      <xdr:colOff>800099</xdr:colOff>
      <xdr:row>8</xdr:row>
      <xdr:rowOff>180975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1333501"/>
          <a:ext cx="5333999" cy="590549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TABLA DEL</a:t>
          </a:r>
          <a:r>
            <a:rPr lang="es-DO" sz="2800" b="1" baseline="0"/>
            <a:t> AÑO ESCOLAR</a:t>
          </a:r>
          <a:endParaRPr lang="es-DO" sz="2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7</xdr:row>
          <xdr:rowOff>19050</xdr:rowOff>
        </xdr:from>
        <xdr:to>
          <xdr:col>4</xdr:col>
          <xdr:colOff>2371725</xdr:colOff>
          <xdr:row>9</xdr:row>
          <xdr:rowOff>47625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2381250</xdr:colOff>
          <xdr:row>7</xdr:row>
          <xdr:rowOff>19050</xdr:rowOff>
        </xdr:from>
        <xdr:to>
          <xdr:col>6</xdr:col>
          <xdr:colOff>0</xdr:colOff>
          <xdr:row>9</xdr:row>
          <xdr:rowOff>47625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1638300</xdr:colOff>
          <xdr:row>7</xdr:row>
          <xdr:rowOff>9525</xdr:rowOff>
        </xdr:from>
        <xdr:to>
          <xdr:col>7</xdr:col>
          <xdr:colOff>9525</xdr:colOff>
          <xdr:row>9</xdr:row>
          <xdr:rowOff>38100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95250</xdr:rowOff>
    </xdr:from>
    <xdr:to>
      <xdr:col>3</xdr:col>
      <xdr:colOff>19050</xdr:colOff>
      <xdr:row>5</xdr:row>
      <xdr:rowOff>171449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666750"/>
          <a:ext cx="4857750" cy="46672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>
              <a:solidFill>
                <a:schemeClr val="tx1"/>
              </a:solidFill>
            </a:rPr>
            <a:t>BUSCADOR</a:t>
          </a:r>
          <a:endParaRPr lang="es-DO" sz="48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257176</xdr:colOff>
      <xdr:row>1</xdr:row>
      <xdr:rowOff>66676</xdr:rowOff>
    </xdr:from>
    <xdr:to>
      <xdr:col>6</xdr:col>
      <xdr:colOff>752475</xdr:colOff>
      <xdr:row>4</xdr:row>
      <xdr:rowOff>180976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095876" y="257176"/>
          <a:ext cx="4810124" cy="6858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232827</xdr:rowOff>
    </xdr:from>
    <xdr:to>
      <xdr:col>3</xdr:col>
      <xdr:colOff>28574</xdr:colOff>
      <xdr:row>10</xdr:row>
      <xdr:rowOff>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1537752"/>
          <a:ext cx="4867274" cy="595848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TABLA DEL</a:t>
          </a:r>
          <a:r>
            <a:rPr lang="es-DO" sz="2800" b="1" baseline="0">
              <a:solidFill>
                <a:schemeClr val="tx1"/>
              </a:solidFill>
            </a:rPr>
            <a:t> AÑO ESCOLAR</a:t>
          </a:r>
          <a:endParaRPr lang="es-DO" sz="28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352425</xdr:colOff>
          <xdr:row>7</xdr:row>
          <xdr:rowOff>28575</xdr:rowOff>
        </xdr:from>
        <xdr:to>
          <xdr:col>4</xdr:col>
          <xdr:colOff>2352675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28575</xdr:rowOff>
        </xdr:from>
        <xdr:to>
          <xdr:col>6</xdr:col>
          <xdr:colOff>0</xdr:colOff>
          <xdr:row>9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6</xdr:col>
          <xdr:colOff>752475</xdr:colOff>
          <xdr:row>9</xdr:row>
          <xdr:rowOff>47625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190500</xdr:rowOff>
        </xdr:from>
        <xdr:to>
          <xdr:col>2</xdr:col>
          <xdr:colOff>800100</xdr:colOff>
          <xdr:row>6</xdr:row>
          <xdr:rowOff>219075</xdr:rowOff>
        </xdr:to>
        <xdr:sp macro="" textlink="">
          <xdr:nvSpPr>
            <xdr:cNvPr id="14340" name="TextBox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95250</xdr:rowOff>
    </xdr:from>
    <xdr:to>
      <xdr:col>3</xdr:col>
      <xdr:colOff>0</xdr:colOff>
      <xdr:row>5</xdr:row>
      <xdr:rowOff>171449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0" y="666750"/>
          <a:ext cx="5581650" cy="466724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/>
            <a:t>BUSCADOR</a:t>
          </a:r>
          <a:endParaRPr lang="es-DO" sz="4800" b="1" baseline="0"/>
        </a:p>
      </xdr:txBody>
    </xdr:sp>
    <xdr:clientData/>
  </xdr:twoCellAnchor>
  <xdr:twoCellAnchor>
    <xdr:from>
      <xdr:col>3</xdr:col>
      <xdr:colOff>361951</xdr:colOff>
      <xdr:row>1</xdr:row>
      <xdr:rowOff>1</xdr:rowOff>
    </xdr:from>
    <xdr:to>
      <xdr:col>7</xdr:col>
      <xdr:colOff>0</xdr:colOff>
      <xdr:row>4</xdr:row>
      <xdr:rowOff>114301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943601" y="190501"/>
          <a:ext cx="4838699" cy="68580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238127</xdr:rowOff>
    </xdr:from>
    <xdr:to>
      <xdr:col>3</xdr:col>
      <xdr:colOff>0</xdr:colOff>
      <xdr:row>9</xdr:row>
      <xdr:rowOff>171451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1543052"/>
          <a:ext cx="5581650" cy="561974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TABLA DEL</a:t>
          </a:r>
          <a:r>
            <a:rPr lang="es-DO" sz="2800" b="1" baseline="0"/>
            <a:t> AÑO ESCOLAR</a:t>
          </a:r>
          <a:endParaRPr lang="es-DO" sz="2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200025</xdr:rowOff>
        </xdr:from>
        <xdr:to>
          <xdr:col>3</xdr:col>
          <xdr:colOff>9525</xdr:colOff>
          <xdr:row>6</xdr:row>
          <xdr:rowOff>228600</xdr:rowOff>
        </xdr:to>
        <xdr:sp macro="" textlink="">
          <xdr:nvSpPr>
            <xdr:cNvPr id="15361" name="TextBox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7</xdr:row>
          <xdr:rowOff>19050</xdr:rowOff>
        </xdr:from>
        <xdr:to>
          <xdr:col>4</xdr:col>
          <xdr:colOff>2371725</xdr:colOff>
          <xdr:row>9</xdr:row>
          <xdr:rowOff>19050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2390775</xdr:colOff>
          <xdr:row>7</xdr:row>
          <xdr:rowOff>19050</xdr:rowOff>
        </xdr:from>
        <xdr:to>
          <xdr:col>6</xdr:col>
          <xdr:colOff>38100</xdr:colOff>
          <xdr:row>9</xdr:row>
          <xdr:rowOff>19050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9525</xdr:rowOff>
        </xdr:from>
        <xdr:to>
          <xdr:col>7</xdr:col>
          <xdr:colOff>28575</xdr:colOff>
          <xdr:row>9</xdr:row>
          <xdr:rowOff>28575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104775</xdr:rowOff>
    </xdr:from>
    <xdr:to>
      <xdr:col>3</xdr:col>
      <xdr:colOff>38100</xdr:colOff>
      <xdr:row>4</xdr:row>
      <xdr:rowOff>190499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485775"/>
          <a:ext cx="5610225" cy="46672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/>
            <a:t>BUSCADOR</a:t>
          </a:r>
          <a:endParaRPr lang="es-DO" sz="4800" b="1" baseline="0"/>
        </a:p>
      </xdr:txBody>
    </xdr:sp>
    <xdr:clientData/>
  </xdr:twoCellAnchor>
  <xdr:twoCellAnchor>
    <xdr:from>
      <xdr:col>3</xdr:col>
      <xdr:colOff>276225</xdr:colOff>
      <xdr:row>1</xdr:row>
      <xdr:rowOff>142876</xdr:rowOff>
    </xdr:from>
    <xdr:to>
      <xdr:col>7</xdr:col>
      <xdr:colOff>9524</xdr:colOff>
      <xdr:row>4</xdr:row>
      <xdr:rowOff>95250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848350" y="333376"/>
          <a:ext cx="4800599" cy="5238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85726</xdr:rowOff>
    </xdr:from>
    <xdr:to>
      <xdr:col>2</xdr:col>
      <xdr:colOff>790575</xdr:colOff>
      <xdr:row>9</xdr:row>
      <xdr:rowOff>161925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0" y="1390651"/>
          <a:ext cx="5562600" cy="704849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TABLA DEL</a:t>
          </a:r>
          <a:r>
            <a:rPr lang="es-DO" sz="2800" b="1" baseline="0"/>
            <a:t> AÑO ESCOLAR</a:t>
          </a:r>
          <a:endParaRPr lang="es-DO" sz="2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38100</xdr:rowOff>
        </xdr:from>
        <xdr:to>
          <xdr:col>2</xdr:col>
          <xdr:colOff>762000</xdr:colOff>
          <xdr:row>6</xdr:row>
          <xdr:rowOff>66675</xdr:rowOff>
        </xdr:to>
        <xdr:sp macro="" textlink="">
          <xdr:nvSpPr>
            <xdr:cNvPr id="16385" name="TextBox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7</xdr:row>
          <xdr:rowOff>9525</xdr:rowOff>
        </xdr:from>
        <xdr:to>
          <xdr:col>4</xdr:col>
          <xdr:colOff>2362200</xdr:colOff>
          <xdr:row>9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2362200</xdr:colOff>
          <xdr:row>7</xdr:row>
          <xdr:rowOff>9525</xdr:rowOff>
        </xdr:from>
        <xdr:to>
          <xdr:col>6</xdr:col>
          <xdr:colOff>9525</xdr:colOff>
          <xdr:row>9</xdr:row>
          <xdr:rowOff>9525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6</xdr:col>
          <xdr:colOff>752475</xdr:colOff>
          <xdr:row>9</xdr:row>
          <xdr:rowOff>9525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8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104775</xdr:rowOff>
    </xdr:from>
    <xdr:to>
      <xdr:col>2</xdr:col>
      <xdr:colOff>638175</xdr:colOff>
      <xdr:row>5</xdr:row>
      <xdr:rowOff>180974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0" y="676275"/>
          <a:ext cx="5372100" cy="466724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/>
            <a:t>BUSCADOR</a:t>
          </a:r>
          <a:endParaRPr lang="es-DO" sz="4800" b="1" baseline="0"/>
        </a:p>
      </xdr:txBody>
    </xdr:sp>
    <xdr:clientData/>
  </xdr:twoCellAnchor>
  <xdr:twoCellAnchor>
    <xdr:from>
      <xdr:col>4</xdr:col>
      <xdr:colOff>1</xdr:colOff>
      <xdr:row>2</xdr:row>
      <xdr:rowOff>57151</xdr:rowOff>
    </xdr:from>
    <xdr:to>
      <xdr:col>6</xdr:col>
      <xdr:colOff>752475</xdr:colOff>
      <xdr:row>4</xdr:row>
      <xdr:rowOff>161925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724526" y="438151"/>
          <a:ext cx="4924424" cy="485774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239426</xdr:rowOff>
    </xdr:from>
    <xdr:to>
      <xdr:col>3</xdr:col>
      <xdr:colOff>9525</xdr:colOff>
      <xdr:row>9</xdr:row>
      <xdr:rowOff>170151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0" y="1544351"/>
          <a:ext cx="5410200" cy="559375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TABLA DEL</a:t>
          </a:r>
          <a:r>
            <a:rPr lang="es-DO" sz="2800" b="1" baseline="0"/>
            <a:t> AÑO ESCOLAR</a:t>
          </a:r>
          <a:endParaRPr lang="es-DO" sz="2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200025</xdr:rowOff>
        </xdr:from>
        <xdr:to>
          <xdr:col>2</xdr:col>
          <xdr:colOff>657225</xdr:colOff>
          <xdr:row>6</xdr:row>
          <xdr:rowOff>228600</xdr:rowOff>
        </xdr:to>
        <xdr:sp macro="" textlink="">
          <xdr:nvSpPr>
            <xdr:cNvPr id="17409" name="TextBox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7</xdr:row>
          <xdr:rowOff>0</xdr:rowOff>
        </xdr:from>
        <xdr:to>
          <xdr:col>4</xdr:col>
          <xdr:colOff>2428875</xdr:colOff>
          <xdr:row>9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2438400</xdr:colOff>
          <xdr:row>7</xdr:row>
          <xdr:rowOff>9525</xdr:rowOff>
        </xdr:from>
        <xdr:to>
          <xdr:col>6</xdr:col>
          <xdr:colOff>19050</xdr:colOff>
          <xdr:row>9</xdr:row>
          <xdr:rowOff>9525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9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19050</xdr:rowOff>
        </xdr:from>
        <xdr:to>
          <xdr:col>7</xdr:col>
          <xdr:colOff>19050</xdr:colOff>
          <xdr:row>9</xdr:row>
          <xdr:rowOff>19050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9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152400</xdr:rowOff>
    </xdr:from>
    <xdr:to>
      <xdr:col>3</xdr:col>
      <xdr:colOff>0</xdr:colOff>
      <xdr:row>3</xdr:row>
      <xdr:rowOff>47624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0" y="152400"/>
          <a:ext cx="5543550" cy="466724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/>
            <a:t>BUSCADOR</a:t>
          </a:r>
          <a:endParaRPr lang="es-DO" sz="4800" baseline="0"/>
        </a:p>
      </xdr:txBody>
    </xdr:sp>
    <xdr:clientData/>
  </xdr:twoCellAnchor>
  <xdr:twoCellAnchor>
    <xdr:from>
      <xdr:col>4</xdr:col>
      <xdr:colOff>0</xdr:colOff>
      <xdr:row>1</xdr:row>
      <xdr:rowOff>123826</xdr:rowOff>
    </xdr:from>
    <xdr:to>
      <xdr:col>7</xdr:col>
      <xdr:colOff>28574</xdr:colOff>
      <xdr:row>4</xdr:row>
      <xdr:rowOff>142875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781675" y="314326"/>
          <a:ext cx="4819649" cy="590549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76201</xdr:rowOff>
    </xdr:from>
    <xdr:to>
      <xdr:col>3</xdr:col>
      <xdr:colOff>57150</xdr:colOff>
      <xdr:row>9</xdr:row>
      <xdr:rowOff>180975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0" y="1381126"/>
          <a:ext cx="5172075" cy="733424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TABLA DEL</a:t>
          </a:r>
          <a:r>
            <a:rPr lang="es-DO" sz="2800" baseline="0"/>
            <a:t> AÑO ESCOLAR</a:t>
          </a:r>
          <a:endParaRPr lang="es-DO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4</xdr:col>
          <xdr:colOff>2428875</xdr:colOff>
          <xdr:row>9</xdr:row>
          <xdr:rowOff>28575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2419350</xdr:colOff>
          <xdr:row>7</xdr:row>
          <xdr:rowOff>19050</xdr:rowOff>
        </xdr:from>
        <xdr:to>
          <xdr:col>6</xdr:col>
          <xdr:colOff>19050</xdr:colOff>
          <xdr:row>9</xdr:row>
          <xdr:rowOff>38100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28575</xdr:rowOff>
        </xdr:from>
        <xdr:to>
          <xdr:col>7</xdr:col>
          <xdr:colOff>19050</xdr:colOff>
          <xdr:row>9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A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2</xdr:col>
          <xdr:colOff>895350</xdr:colOff>
          <xdr:row>5</xdr:row>
          <xdr:rowOff>190500</xdr:rowOff>
        </xdr:to>
        <xdr:sp macro="" textlink="">
          <xdr:nvSpPr>
            <xdr:cNvPr id="19460" name="TextBox1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A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952500</xdr:colOff>
      <xdr:row>3</xdr:row>
      <xdr:rowOff>85724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0" y="190500"/>
          <a:ext cx="5715000" cy="466724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/>
            <a:t>BUSCADOR</a:t>
          </a:r>
          <a:endParaRPr lang="es-DO" sz="4800" baseline="0"/>
        </a:p>
      </xdr:txBody>
    </xdr:sp>
    <xdr:clientData/>
  </xdr:twoCellAnchor>
  <xdr:twoCellAnchor>
    <xdr:from>
      <xdr:col>3</xdr:col>
      <xdr:colOff>419101</xdr:colOff>
      <xdr:row>1</xdr:row>
      <xdr:rowOff>38101</xdr:rowOff>
    </xdr:from>
    <xdr:to>
      <xdr:col>7</xdr:col>
      <xdr:colOff>0</xdr:colOff>
      <xdr:row>4</xdr:row>
      <xdr:rowOff>152401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6162676" y="228601"/>
          <a:ext cx="4733924" cy="6858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66676</xdr:rowOff>
    </xdr:from>
    <xdr:to>
      <xdr:col>3</xdr:col>
      <xdr:colOff>28575</xdr:colOff>
      <xdr:row>9</xdr:row>
      <xdr:rowOff>28575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0" y="1371601"/>
          <a:ext cx="5772150" cy="590549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TABLA DEL</a:t>
          </a:r>
          <a:r>
            <a:rPr lang="es-DO" sz="2800" baseline="0"/>
            <a:t> AÑO ESCOLAR</a:t>
          </a:r>
          <a:endParaRPr lang="es-DO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5</xdr:col>
          <xdr:colOff>9525</xdr:colOff>
          <xdr:row>9</xdr:row>
          <xdr:rowOff>28575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9525</xdr:rowOff>
        </xdr:from>
        <xdr:to>
          <xdr:col>6</xdr:col>
          <xdr:colOff>0</xdr:colOff>
          <xdr:row>9</xdr:row>
          <xdr:rowOff>28575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6</xdr:col>
          <xdr:colOff>752475</xdr:colOff>
          <xdr:row>9</xdr:row>
          <xdr:rowOff>9525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B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180975</xdr:rowOff>
        </xdr:from>
        <xdr:to>
          <xdr:col>2</xdr:col>
          <xdr:colOff>923925</xdr:colOff>
          <xdr:row>5</xdr:row>
          <xdr:rowOff>161925</xdr:rowOff>
        </xdr:to>
        <xdr:sp macro="" textlink="">
          <xdr:nvSpPr>
            <xdr:cNvPr id="20484" name="TextBox1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B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28575</xdr:rowOff>
    </xdr:from>
    <xdr:to>
      <xdr:col>6</xdr:col>
      <xdr:colOff>0</xdr:colOff>
      <xdr:row>2</xdr:row>
      <xdr:rowOff>180975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257425" y="28575"/>
          <a:ext cx="4695825" cy="533400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DO" sz="2800"/>
            <a:t>BASE DE DATOS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1009650</xdr:colOff>
          <xdr:row>3</xdr:row>
          <xdr:rowOff>9525</xdr:rowOff>
        </xdr:from>
        <xdr:to>
          <xdr:col>6</xdr:col>
          <xdr:colOff>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171450</xdr:rowOff>
        </xdr:from>
        <xdr:to>
          <xdr:col>4</xdr:col>
          <xdr:colOff>1000125</xdr:colOff>
          <xdr:row>4</xdr:row>
          <xdr:rowOff>161925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2CC5E1D-D955-4788-9AF4-BBB082B39C63}" name="TABLA2011" displayName="TABLA2011" ref="A11:C13" totalsRowCount="1" headerRowDxfId="100" dataDxfId="99">
  <autoFilter ref="A11:C12" xr:uid="{72CC5E1D-D955-4788-9AF4-BBB082B39C63}">
    <filterColumn colId="0">
      <customFilters>
        <customFilter val="**"/>
      </customFilters>
    </filterColumn>
  </autoFilter>
  <tableColumns count="3">
    <tableColumn id="1" xr3:uid="{CA5A2BFE-6D89-4828-91F8-38AB65A33A48}" name="NOMBRE COMPLETO" totalsRowLabel="Total" dataDxfId="98" totalsRowDxfId="97"/>
    <tableColumn id="2" xr3:uid="{F41B5D3F-5D79-40C7-B7A4-95A2861E8157}" name="AÑO ESCOLAR" dataDxfId="96" totalsRowDxfId="95"/>
    <tableColumn id="3" xr3:uid="{934BC9AD-0697-45F9-B298-88243202CC9A}" name="FICHA" totalsRowFunction="count" dataDxfId="94" totalsRowDxfId="93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0320B8-495D-443E-86E6-135BE6363C52}" name="TABLA2014" displayName="TABLA2014" ref="A11:C13" totalsRowCount="1" headerRowDxfId="92" dataDxfId="91" totalsRowDxfId="90">
  <autoFilter ref="A11:C12" xr:uid="{6B0320B8-495D-443E-86E6-135BE6363C52}">
    <filterColumn colId="0">
      <customFilters>
        <customFilter val="**"/>
      </customFilters>
    </filterColumn>
  </autoFilter>
  <tableColumns count="3">
    <tableColumn id="1" xr3:uid="{E415FD36-2B52-46D6-AA5C-AB369A941B52}" name="NOMBRE" totalsRowLabel="TOTAL" dataDxfId="89" totalsRowDxfId="88"/>
    <tableColumn id="2" xr3:uid="{80C8B963-C031-40E7-88FF-CF05911539A9}" name="AÑO ESCOLAR" dataDxfId="87" totalsRowDxfId="86"/>
    <tableColumn id="3" xr3:uid="{76659C96-C7F1-4987-AC22-E1BAC00B0555}" name="FICHA" totalsRowFunction="count" dataDxfId="85" totalsRowDxfId="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9F0E4B1-07EF-4910-890C-853FEBFF76F4}" name="AÑO2016" displayName="AÑO2016" ref="A11:C16" totalsRowCount="1" headerRowDxfId="83" dataDxfId="81" totalsRowDxfId="79" headerRowBorderDxfId="82" tableBorderDxfId="80">
  <tableColumns count="3">
    <tableColumn id="1" xr3:uid="{5EF0E8FB-25EB-4707-A796-735494BA380C}" name="NOMBRE" totalsRowLabel="TOTAL" dataDxfId="78" totalsRowDxfId="77"/>
    <tableColumn id="2" xr3:uid="{DC977F1B-C3AE-49CD-80E0-358D9AABA742}" name="AÑO ESCOLAR" dataDxfId="76" totalsRowDxfId="75"/>
    <tableColumn id="3" xr3:uid="{C37A584B-578F-484B-BF9F-935DF0FAF5A5}" name="FICHA" totalsRowFunction="count" dataDxfId="74" totalsRowDxfId="7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A4A502B-AC12-41A2-AD9E-B781E102B3BB}" name="AÑO2017" displayName="AÑO2017" ref="A11:C14" totalsRowCount="1" headerRowDxfId="72" dataDxfId="71" totalsRowDxfId="69" tableBorderDxfId="70">
  <autoFilter ref="A11:C13" xr:uid="{AA4A502B-AC12-41A2-AD9E-B781E102B3BB}"/>
  <tableColumns count="3">
    <tableColumn id="1" xr3:uid="{DA4BF2E2-4C0A-43D0-AC71-CE4018D7D99B}" name="NOMBRE" totalsRowLabel="Total" dataDxfId="68" totalsRowDxfId="67"/>
    <tableColumn id="2" xr3:uid="{15D25289-EF93-438D-80A6-7CEA3F2A9012}" name="AÑO ESCOLAR" dataDxfId="66" totalsRowDxfId="65"/>
    <tableColumn id="3" xr3:uid="{4E3B06FD-A7A5-47CF-9D6D-A60644A8C644}" name="FICHA" totalsRowFunction="count" dataDxfId="64" totalsRowDxfId="63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693BCC-E08F-4B89-8D07-DE86D145AF19}" name="TABLAÑO2018" displayName="TABLAÑO2018" ref="A10:C18" totalsRowCount="1" headerRowDxfId="62" dataDxfId="61" totalsRowDxfId="59" tableBorderDxfId="60">
  <autoFilter ref="A10:C17" xr:uid="{C2693BCC-E08F-4B89-8D07-DE86D145AF19}">
    <filterColumn colId="0">
      <customFilters>
        <customFilter val="**"/>
      </customFilters>
    </filterColumn>
  </autoFilter>
  <sortState xmlns:xlrd2="http://schemas.microsoft.com/office/spreadsheetml/2017/richdata2" ref="A11:C17">
    <sortCondition ref="A11:A17"/>
  </sortState>
  <tableColumns count="3">
    <tableColumn id="1" xr3:uid="{FD34914B-2A56-44CA-8609-8B6BCC65D763}" name="NOMBRE" totalsRowLabel="TOTAL" dataDxfId="58" totalsRowDxfId="57"/>
    <tableColumn id="2" xr3:uid="{366C3A35-A695-49F2-BB17-D118C576F4B4}" name="AÑO ESCOLAR" dataDxfId="56" totalsRowDxfId="55"/>
    <tableColumn id="3" xr3:uid="{1162CC95-351D-4093-91DA-CE962183F91A}" name="FICHA" totalsRowFunction="count" dataDxfId="54" totalsRowDxfId="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E65FF4-A365-4890-A4FA-3D92481AD515}" name="TABLAAÑO2019" displayName="TABLAAÑO2019" ref="A11:C16" totalsRowCount="1" headerRowDxfId="52" dataDxfId="51" totalsRowDxfId="49" tableBorderDxfId="50">
  <autoFilter ref="A11:C15" xr:uid="{F5E65FF4-A365-4890-A4FA-3D92481AD515}">
    <filterColumn colId="0">
      <customFilters>
        <customFilter val="**"/>
      </customFilters>
    </filterColumn>
  </autoFilter>
  <sortState xmlns:xlrd2="http://schemas.microsoft.com/office/spreadsheetml/2017/richdata2" ref="A12:C15">
    <sortCondition ref="A12:A15"/>
  </sortState>
  <tableColumns count="3">
    <tableColumn id="1" xr3:uid="{E0DBE584-9180-4DCE-AE80-65FD152A1EE6}" name="NOMBRE" totalsRowLabel="TOTAL" dataDxfId="48" totalsRowDxfId="47"/>
    <tableColumn id="2" xr3:uid="{3CCD2212-8063-4E09-A6B7-DA6D003431E9}" name="AÑO ESCOLAR" dataDxfId="46" totalsRowDxfId="45"/>
    <tableColumn id="3" xr3:uid="{B0854990-FCA9-45C5-A257-3D50163B8E27}" name="FICHA" totalsRowFunction="count" dataDxfId="44" totalsRowDxfId="4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008E55-389A-42FC-8A31-E9BD8864697E}" name="Tabla4" displayName="Tabla4" ref="A11:C38" totalsRowCount="1" headerRowDxfId="42" dataDxfId="41">
  <autoFilter ref="A11:C37" xr:uid="{CC008E55-389A-42FC-8A31-E9BD8864697E}">
    <filterColumn colId="0">
      <customFilters>
        <customFilter val="**"/>
      </customFilters>
    </filterColumn>
  </autoFilter>
  <sortState xmlns:xlrd2="http://schemas.microsoft.com/office/spreadsheetml/2017/richdata2" ref="A12:C37">
    <sortCondition ref="A12:A37"/>
  </sortState>
  <tableColumns count="3">
    <tableColumn id="1" xr3:uid="{35453BF2-08FB-49A1-B016-F57FC3ECA866}" name="NOMBRE" totalsRowLabel="Total" dataDxfId="40" totalsRowDxfId="39"/>
    <tableColumn id="2" xr3:uid="{5A872302-1D23-4D24-AE8D-82E1B1E832EE}" name="AÑO ESCOLAR" dataDxfId="38" totalsRowDxfId="37"/>
    <tableColumn id="3" xr3:uid="{BDF9A3DE-9456-430B-A5B8-7C14489B06EE}" name="FICHA" totalsRowFunction="count" dataDxfId="36" totalsRowDxfId="3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62E89D-3E74-488F-BC8A-56FF628A46CB}" name="TABLAAÑO2021" displayName="TABLAAÑO2021" ref="A11:C71" totalsRowCount="1" headerRowDxfId="34" dataDxfId="33" totalsRowDxfId="31" tableBorderDxfId="32">
  <autoFilter ref="A11:C70" xr:uid="{E362E89D-3E74-488F-BC8A-56FF628A46CB}">
    <filterColumn colId="0">
      <customFilters>
        <customFilter val="**"/>
      </customFilters>
    </filterColumn>
  </autoFilter>
  <sortState xmlns:xlrd2="http://schemas.microsoft.com/office/spreadsheetml/2017/richdata2" ref="A12:C70">
    <sortCondition ref="A12:A70"/>
  </sortState>
  <tableColumns count="3">
    <tableColumn id="1" xr3:uid="{355B47C2-D497-4757-A2A3-939F1CC54673}" name="NOMBRE" totalsRowLabel="Total" dataDxfId="30" totalsRowDxfId="29"/>
    <tableColumn id="2" xr3:uid="{26E9E45C-BB72-45D9-B86A-C7C3DD580DA6}" name="AÑO ESCOLAR" dataDxfId="28" totalsRowDxfId="27"/>
    <tableColumn id="3" xr3:uid="{EF6968EE-177F-41EA-8345-28790A08718A}" name="FICHA" totalsRowFunction="count" dataDxfId="26" totalsRowDxfId="25"/>
  </tableColumns>
  <tableStyleInfo name="TableStyleMedium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CA7A5C-C271-470D-AE35-7ED69DC7F3DF}" name="TABLAAÑO2022" displayName="TABLAAÑO2022" ref="A11:C113" totalsRowCount="1" headerRowDxfId="24" dataDxfId="23">
  <autoFilter ref="A11:C112" xr:uid="{79CA7A5C-C271-470D-AE35-7ED69DC7F3DF}">
    <filterColumn colId="0">
      <customFilters>
        <customFilter val="**"/>
      </customFilters>
    </filterColumn>
  </autoFilter>
  <sortState xmlns:xlrd2="http://schemas.microsoft.com/office/spreadsheetml/2017/richdata2" ref="A12:C112">
    <sortCondition ref="C12:C112"/>
  </sortState>
  <tableColumns count="3">
    <tableColumn id="1" xr3:uid="{9E22C528-34EF-42F4-A822-F2E55AD2589F}" name="NOMBRE" totalsRowLabel="TOTAL" dataDxfId="22" totalsRowDxfId="21"/>
    <tableColumn id="2" xr3:uid="{95560A19-C138-4DAC-BF4A-8B9E9E079CE5}" name="AÑO ESCOLAR" dataDxfId="20" totalsRowDxfId="19"/>
    <tableColumn id="3" xr3:uid="{76FD8DB8-1970-46EB-830E-B04CA75B60B8}" name="FICHA" totalsRowFunction="custom" dataDxfId="18" totalsRowDxfId="17">
      <totalsRowFormula>B28:C113=SUBTOTAL(103,TABLAAÑO2022[FICHA])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BFA5BA0-FE72-4DEF-B1C6-E023D0959819}" name="TABLAAÑO2023" displayName="TABLAAÑO2023" ref="A11:C27" totalsRowCount="1" headerRowDxfId="16" dataDxfId="15">
  <autoFilter ref="A11:C26" xr:uid="{3BFA5BA0-FE72-4DEF-B1C6-E023D0959819}"/>
  <sortState xmlns:xlrd2="http://schemas.microsoft.com/office/spreadsheetml/2017/richdata2" ref="A12:C26">
    <sortCondition ref="C12:C26"/>
  </sortState>
  <tableColumns count="3">
    <tableColumn id="1" xr3:uid="{DD41506E-3B79-4010-8D41-D10FD97CC4DA}" name="NOMBRE" totalsRowLabel="Total" dataDxfId="14" totalsRowDxfId="13"/>
    <tableColumn id="2" xr3:uid="{D2E9FD96-31D0-401A-B48E-FCF1CF3F70F2}" name="AÑO ESCOLAR" dataDxfId="12" totalsRowDxfId="11"/>
    <tableColumn id="3" xr3:uid="{2AE6C90F-064E-4CC3-996D-0750478D27BD}" name="FICHA" totalsRowFunction="count" dataDxfId="10" totalsRow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527D15-7342-4C03-878E-01931668F9B6}" name="TABLAAÑO2024" displayName="TABLAAÑO2024" ref="A11:C119" totalsRowCount="1" headerRowDxfId="8" dataDxfId="7" totalsRowDxfId="6">
  <sortState xmlns:xlrd2="http://schemas.microsoft.com/office/spreadsheetml/2017/richdata2" ref="A12:C118">
    <sortCondition ref="C14:C118"/>
  </sortState>
  <tableColumns count="3">
    <tableColumn id="1" xr3:uid="{4A30BA20-7205-466D-8DA6-0DAB7045C428}" name="NOMBRE" totalsRowLabel="Total" dataDxfId="5" totalsRowDxfId="4"/>
    <tableColumn id="2" xr3:uid="{6F27B428-0FE5-4346-A393-A3A0D244755F}" name="AÑO ESCOLAR" dataDxfId="3" totalsRowDxfId="2"/>
    <tableColumn id="3" xr3:uid="{79C80C6D-BE88-42B3-81B3-A4C067DA3B1C}" name="FICHA" totalsRowFunction="count" dataDxfId="1" totalsRow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BCCC09-2A6E-4A37-BA5F-D08416592290}" name="Tabla1" displayName="Tabla1" ref="D6:F878" totalsRowCount="1" headerRowDxfId="110" dataDxfId="109" totalsRowDxfId="107" tableBorderDxfId="108">
  <autoFilter ref="D6:F877" xr:uid="{8BBCCC09-2A6E-4A37-BA5F-D08416592290}">
    <filterColumn colId="0">
      <customFilters>
        <customFilter val="**"/>
      </customFilters>
    </filterColumn>
  </autoFilter>
  <sortState xmlns:xlrd2="http://schemas.microsoft.com/office/spreadsheetml/2017/richdata2" ref="D7:F877">
    <sortCondition ref="F6:F877"/>
  </sortState>
  <tableColumns count="3">
    <tableColumn id="1" xr3:uid="{93225411-53A9-4244-95FD-8FF6A99BA7DE}" name="NOMBRE " totalsRowLabel="Total" dataDxfId="106" totalsRowDxfId="105"/>
    <tableColumn id="2" xr3:uid="{ED36F00D-CAAA-4E91-818F-084E5482FB62}" name="AÑO ESCOLAR" dataDxfId="104" totalsRowDxfId="103"/>
    <tableColumn id="3" xr3:uid="{811E48E1-30AC-4CBC-AACC-A937CA3D126A}" name="FICHA" totalsRowFunction="count" dataDxfId="102" totalsRowDxfId="10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ontrol" Target="../activeX/activeX2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4.xml"/><Relationship Id="rId7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ontrol" Target="../activeX/activeX5.xml"/><Relationship Id="rId7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ontrol" Target="../activeX/activeX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ontrol" Target="../activeX/activeX7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ontrol" Target="../activeX/activeX8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image" Target="../media/image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ontrol" Target="../activeX/activeX9.xml"/><Relationship Id="rId7" Type="http://schemas.openxmlformats.org/officeDocument/2006/relationships/ctrlProp" Target="../ctrlProps/ctrlProp3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image" Target="../media/image9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ontrol" Target="../activeX/activeX10.xml"/><Relationship Id="rId7" Type="http://schemas.openxmlformats.org/officeDocument/2006/relationships/ctrlProp" Target="../ctrlProps/ctrlProp4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image" Target="../media/image1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image" Target="../media/image1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table" Target="../tables/table12.xml"/><Relationship Id="rId5" Type="http://schemas.openxmlformats.org/officeDocument/2006/relationships/ctrlProp" Target="../ctrlProps/ctrlProp46.xml"/><Relationship Id="rId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EED48-DC61-4444-89EC-78FB25B417E7}">
  <sheetPr codeName="Hoja6">
    <tabColor rgb="FF5943FB"/>
  </sheetPr>
  <dimension ref="A1:P646"/>
  <sheetViews>
    <sheetView zoomScale="90" zoomScaleNormal="90" workbookViewId="0">
      <selection activeCell="D62" sqref="D62"/>
    </sheetView>
  </sheetViews>
  <sheetFormatPr baseColWidth="10" defaultRowHeight="15" x14ac:dyDescent="0.25"/>
  <cols>
    <col min="4" max="4" width="33.7109375" customWidth="1"/>
    <col min="5" max="5" width="29" customWidth="1"/>
    <col min="11" max="11" width="7.7109375" customWidth="1"/>
  </cols>
  <sheetData>
    <row r="1" spans="1:16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</row>
    <row r="4" spans="1:16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</row>
    <row r="5" spans="1:1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</row>
    <row r="6" spans="1:16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</row>
    <row r="7" spans="1:16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1:16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1:16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</row>
    <row r="10" spans="1:16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1:16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</row>
    <row r="12" spans="1:16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</row>
    <row r="13" spans="1:16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</row>
    <row r="14" spans="1:16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</row>
    <row r="15" spans="1:16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</row>
    <row r="16" spans="1:16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</row>
    <row r="17" spans="1:16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</row>
    <row r="18" spans="1:16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</row>
    <row r="19" spans="1:16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</row>
    <row r="20" spans="1:16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</row>
    <row r="21" spans="1:16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</row>
    <row r="22" spans="1:16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</row>
    <row r="23" spans="1:16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</row>
    <row r="24" spans="1:16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</row>
    <row r="25" spans="1:16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</row>
    <row r="26" spans="1:16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</row>
    <row r="27" spans="1:16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</row>
    <row r="28" spans="1:16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</row>
    <row r="29" spans="1:16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</row>
    <row r="30" spans="1:16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</row>
    <row r="31" spans="1:16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</row>
    <row r="32" spans="1:16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</row>
    <row r="33" spans="1:16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</row>
    <row r="34" spans="1:16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</row>
    <row r="35" spans="1:16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</row>
    <row r="36" spans="1:16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</row>
    <row r="37" spans="1:16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</row>
    <row r="38" spans="1:16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</row>
    <row r="39" spans="1:16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</row>
    <row r="40" spans="1:16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</row>
    <row r="41" spans="1:16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</row>
    <row r="42" spans="1:16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</row>
    <row r="43" spans="1:16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</row>
    <row r="44" spans="1:16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</row>
    <row r="45" spans="1:16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</row>
    <row r="46" spans="1:16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</row>
    <row r="47" spans="1:16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</row>
    <row r="48" spans="1:16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</row>
    <row r="49" spans="1:16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</row>
    <row r="50" spans="1:16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</row>
    <row r="51" spans="1:16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</row>
    <row r="52" spans="1:16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</row>
    <row r="53" spans="1:16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</row>
    <row r="54" spans="1:16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</row>
    <row r="55" spans="1:16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</row>
    <row r="56" spans="1:16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1:16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</row>
    <row r="58" spans="1:16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</row>
    <row r="59" spans="1:16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</row>
    <row r="60" spans="1:16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</row>
    <row r="61" spans="1:16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</row>
    <row r="62" spans="1:16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</row>
    <row r="63" spans="1:16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</row>
    <row r="64" spans="1:16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</row>
    <row r="65" spans="1:16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</row>
    <row r="66" spans="1:16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</row>
    <row r="67" spans="1:16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</row>
    <row r="68" spans="1:16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</row>
    <row r="69" spans="1:16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</row>
    <row r="70" spans="1:16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</row>
    <row r="71" spans="1:16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</row>
    <row r="72" spans="1:16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</row>
    <row r="73" spans="1:16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</row>
    <row r="74" spans="1:16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</row>
    <row r="75" spans="1:16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</row>
    <row r="76" spans="1:16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</row>
    <row r="77" spans="1:16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</row>
    <row r="78" spans="1:16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</row>
    <row r="79" spans="1:16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</row>
    <row r="80" spans="1:16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</row>
    <row r="81" spans="1:16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</row>
    <row r="82" spans="1:16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</row>
    <row r="83" spans="1:16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</row>
    <row r="84" spans="1:16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</row>
    <row r="85" spans="1:16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</row>
    <row r="86" spans="1:16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</row>
    <row r="87" spans="1:16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</row>
    <row r="88" spans="1:16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</row>
    <row r="89" spans="1:16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</row>
    <row r="90" spans="1:16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</row>
    <row r="91" spans="1:16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</row>
    <row r="92" spans="1:16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</row>
    <row r="93" spans="1:16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</row>
    <row r="94" spans="1:16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</row>
    <row r="95" spans="1:16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</row>
    <row r="96" spans="1:16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</row>
    <row r="97" spans="1:16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</row>
    <row r="98" spans="1:16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</row>
    <row r="99" spans="1:16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</row>
    <row r="100" spans="1:16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</row>
    <row r="101" spans="1:16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</row>
    <row r="102" spans="1:16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</row>
    <row r="103" spans="1:16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</row>
    <row r="104" spans="1:16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</row>
    <row r="105" spans="1:16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</row>
    <row r="106" spans="1:16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</row>
    <row r="107" spans="1:16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</row>
    <row r="108" spans="1:16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</row>
    <row r="109" spans="1:16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</row>
    <row r="110" spans="1:16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</row>
    <row r="111" spans="1:16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</row>
    <row r="112" spans="1:16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</row>
    <row r="113" spans="1:16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</row>
    <row r="114" spans="1:16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</row>
    <row r="115" spans="1:16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</row>
    <row r="116" spans="1:16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</row>
    <row r="117" spans="1:16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</row>
    <row r="118" spans="1:16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</row>
    <row r="119" spans="1:16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</row>
    <row r="120" spans="1:16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</row>
    <row r="121" spans="1:16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</row>
    <row r="122" spans="1:16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</row>
    <row r="123" spans="1:16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</row>
    <row r="124" spans="1:16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</row>
    <row r="125" spans="1:16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</row>
    <row r="126" spans="1:16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</row>
    <row r="127" spans="1:16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</row>
    <row r="128" spans="1:16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</row>
    <row r="129" spans="1:16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</row>
    <row r="130" spans="1:16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</row>
    <row r="131" spans="1:16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</row>
    <row r="132" spans="1:16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</row>
    <row r="133" spans="1:16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</row>
    <row r="134" spans="1:16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</row>
    <row r="135" spans="1:16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</row>
    <row r="136" spans="1:16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</row>
    <row r="137" spans="1:16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</row>
    <row r="138" spans="1:16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</row>
    <row r="139" spans="1:16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</row>
    <row r="140" spans="1:16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</row>
    <row r="141" spans="1:16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</row>
    <row r="142" spans="1:16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</row>
    <row r="143" spans="1:16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</row>
    <row r="144" spans="1:16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</row>
    <row r="145" spans="1:16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</row>
    <row r="146" spans="1:16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</row>
    <row r="147" spans="1:16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</row>
    <row r="148" spans="1:16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</row>
    <row r="149" spans="1:16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</row>
    <row r="150" spans="1:16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</row>
    <row r="151" spans="1:16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</row>
    <row r="152" spans="1:16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</row>
    <row r="153" spans="1:16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</row>
    <row r="154" spans="1:16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</row>
    <row r="155" spans="1:16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</row>
    <row r="156" spans="1:16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</row>
    <row r="157" spans="1:16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</row>
    <row r="158" spans="1:16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</row>
    <row r="159" spans="1:16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</row>
    <row r="160" spans="1:16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</row>
    <row r="161" spans="1:16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</row>
    <row r="162" spans="1:16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</row>
    <row r="163" spans="1:16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</row>
    <row r="164" spans="1:16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</row>
    <row r="165" spans="1:16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</row>
    <row r="166" spans="1:16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</row>
    <row r="167" spans="1:16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</row>
    <row r="168" spans="1:16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</row>
    <row r="169" spans="1:16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</row>
    <row r="170" spans="1:16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</row>
    <row r="171" spans="1:16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</row>
    <row r="172" spans="1:16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</row>
    <row r="173" spans="1:16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</row>
    <row r="174" spans="1:16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</row>
    <row r="175" spans="1:16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</row>
    <row r="176" spans="1:16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</row>
    <row r="177" spans="1:16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</row>
    <row r="178" spans="1:16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</row>
    <row r="179" spans="1:16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</row>
    <row r="180" spans="1:16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</row>
    <row r="181" spans="1:16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</row>
    <row r="182" spans="1:16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</row>
    <row r="183" spans="1:16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</row>
    <row r="184" spans="1:16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</row>
    <row r="185" spans="1:16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</row>
    <row r="186" spans="1:16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</row>
    <row r="187" spans="1:16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</row>
    <row r="188" spans="1:16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</row>
    <row r="189" spans="1:16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</row>
    <row r="190" spans="1:16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</row>
    <row r="191" spans="1:16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</row>
    <row r="192" spans="1:16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</row>
    <row r="193" spans="1:16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</row>
    <row r="194" spans="1:16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</row>
    <row r="195" spans="1:16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</row>
    <row r="196" spans="1:16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</row>
    <row r="197" spans="1:16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</row>
    <row r="198" spans="1:16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</row>
    <row r="199" spans="1:16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</row>
    <row r="200" spans="1:16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</row>
    <row r="201" spans="1:16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</row>
    <row r="202" spans="1:16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</row>
    <row r="203" spans="1:16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</row>
    <row r="204" spans="1:16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</row>
    <row r="205" spans="1:16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</row>
    <row r="206" spans="1:16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</row>
    <row r="207" spans="1:16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</row>
    <row r="208" spans="1:16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</row>
    <row r="209" spans="1:16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</row>
    <row r="210" spans="1:16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</row>
    <row r="211" spans="1:16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</row>
    <row r="212" spans="1:16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</row>
    <row r="213" spans="1:16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</row>
    <row r="214" spans="1:16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</row>
    <row r="215" spans="1:16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</row>
    <row r="216" spans="1:16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</row>
    <row r="217" spans="1:16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</row>
    <row r="218" spans="1:16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</row>
    <row r="219" spans="1:16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</row>
    <row r="220" spans="1:16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</row>
    <row r="221" spans="1:16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</row>
    <row r="222" spans="1:16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</row>
    <row r="223" spans="1:16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</row>
    <row r="224" spans="1:16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</row>
    <row r="225" spans="1:16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</row>
    <row r="226" spans="1:16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</row>
    <row r="227" spans="1:16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</row>
    <row r="228" spans="1:16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</row>
    <row r="229" spans="1:16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</row>
    <row r="230" spans="1:16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</row>
    <row r="231" spans="1:16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</row>
    <row r="232" spans="1:16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</row>
    <row r="233" spans="1:16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</row>
    <row r="234" spans="1:16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</row>
    <row r="235" spans="1:16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</row>
    <row r="236" spans="1:16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</row>
    <row r="237" spans="1:16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</row>
    <row r="238" spans="1:16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</row>
    <row r="239" spans="1:16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</row>
    <row r="240" spans="1:16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</row>
    <row r="241" spans="1:16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</row>
    <row r="242" spans="1:16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</row>
    <row r="243" spans="1:16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</row>
    <row r="244" spans="1:16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</row>
    <row r="245" spans="1:16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</row>
    <row r="246" spans="1:16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</row>
    <row r="247" spans="1:16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</row>
    <row r="248" spans="1:16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</row>
    <row r="249" spans="1:16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</row>
    <row r="250" spans="1:16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</row>
    <row r="251" spans="1:16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</row>
    <row r="252" spans="1:16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</row>
    <row r="253" spans="1:16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</row>
    <row r="254" spans="1:16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</row>
    <row r="255" spans="1:16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</row>
    <row r="256" spans="1:16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</row>
    <row r="257" spans="1:16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</row>
    <row r="258" spans="1:16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</row>
    <row r="259" spans="1:16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</row>
    <row r="260" spans="1:16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</row>
    <row r="261" spans="1:16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</row>
    <row r="262" spans="1:16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</row>
    <row r="263" spans="1:16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</row>
    <row r="264" spans="1:16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</row>
    <row r="265" spans="1:16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</row>
    <row r="266" spans="1:16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</row>
    <row r="267" spans="1:16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</row>
    <row r="268" spans="1:16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</row>
    <row r="269" spans="1:16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</row>
    <row r="270" spans="1:16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</row>
    <row r="271" spans="1:16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</row>
    <row r="272" spans="1:16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</row>
    <row r="273" spans="1:16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</row>
    <row r="274" spans="1:16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</row>
    <row r="275" spans="1:16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</row>
    <row r="276" spans="1:16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</row>
    <row r="277" spans="1:16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</row>
    <row r="278" spans="1:16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</row>
    <row r="279" spans="1:16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</row>
    <row r="280" spans="1:16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</row>
    <row r="281" spans="1:16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</row>
    <row r="282" spans="1:16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</row>
    <row r="283" spans="1:16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</row>
    <row r="284" spans="1:16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</row>
    <row r="285" spans="1:16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</row>
    <row r="286" spans="1:16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</row>
    <row r="287" spans="1:16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</row>
    <row r="288" spans="1:16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</row>
    <row r="289" spans="1:16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</row>
    <row r="290" spans="1:16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</row>
    <row r="291" spans="1:16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</row>
    <row r="292" spans="1:16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</row>
    <row r="293" spans="1:16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</row>
    <row r="294" spans="1:16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</row>
    <row r="295" spans="1:16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</row>
    <row r="296" spans="1:16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</row>
    <row r="297" spans="1:16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</row>
    <row r="298" spans="1:16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</row>
    <row r="299" spans="1:16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</row>
    <row r="300" spans="1:16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</row>
    <row r="301" spans="1:16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</row>
    <row r="302" spans="1:16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</row>
    <row r="303" spans="1:16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</row>
    <row r="304" spans="1:16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</row>
    <row r="305" spans="1:16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</row>
    <row r="306" spans="1:16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</row>
    <row r="307" spans="1:16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</row>
    <row r="308" spans="1:16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</row>
    <row r="309" spans="1:16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</row>
    <row r="310" spans="1:16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</row>
    <row r="311" spans="1:16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</row>
    <row r="312" spans="1:16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</row>
    <row r="313" spans="1:16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</row>
    <row r="314" spans="1:16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</row>
    <row r="315" spans="1:16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</row>
    <row r="316" spans="1:16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</row>
    <row r="317" spans="1:16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</row>
    <row r="318" spans="1:16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</row>
    <row r="319" spans="1:16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</row>
    <row r="320" spans="1:16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</row>
    <row r="321" spans="1:16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</row>
    <row r="322" spans="1:16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</row>
    <row r="323" spans="1:16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</row>
    <row r="324" spans="1:16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</row>
    <row r="325" spans="1:16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</row>
    <row r="326" spans="1:16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</row>
    <row r="327" spans="1:16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</row>
    <row r="328" spans="1:16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</row>
    <row r="329" spans="1:16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</row>
    <row r="330" spans="1:16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</row>
    <row r="331" spans="1:16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</row>
    <row r="332" spans="1:16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</row>
    <row r="333" spans="1:16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</row>
    <row r="334" spans="1:16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</row>
    <row r="335" spans="1:16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</row>
    <row r="336" spans="1:16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</row>
    <row r="337" spans="1:16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</row>
    <row r="338" spans="1:16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</row>
    <row r="339" spans="1:16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</row>
    <row r="340" spans="1:16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</row>
    <row r="341" spans="1:16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</row>
    <row r="342" spans="1:16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</row>
    <row r="343" spans="1:16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</row>
    <row r="344" spans="1:16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</row>
    <row r="345" spans="1:16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</row>
    <row r="346" spans="1:16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</row>
    <row r="347" spans="1:16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</row>
    <row r="348" spans="1:16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</row>
    <row r="349" spans="1:16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</row>
    <row r="350" spans="1:16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</row>
    <row r="351" spans="1:16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</row>
    <row r="352" spans="1:16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</row>
    <row r="353" spans="1:16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</row>
    <row r="354" spans="1:16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</row>
    <row r="355" spans="1:16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</row>
    <row r="356" spans="1:16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</row>
    <row r="357" spans="1:16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</row>
    <row r="358" spans="1:16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</row>
    <row r="359" spans="1:16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</row>
    <row r="360" spans="1:16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</row>
    <row r="361" spans="1:16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</row>
    <row r="362" spans="1:16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</row>
    <row r="363" spans="1:16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</row>
    <row r="364" spans="1:16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</row>
    <row r="365" spans="1:16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</row>
    <row r="366" spans="1:16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</row>
    <row r="367" spans="1:16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</row>
    <row r="368" spans="1:16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</row>
    <row r="369" spans="1:16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</row>
    <row r="370" spans="1:16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</row>
    <row r="371" spans="1:16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</row>
    <row r="372" spans="1:16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</row>
    <row r="373" spans="1:16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</row>
    <row r="374" spans="1:16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</row>
    <row r="375" spans="1:16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</row>
    <row r="376" spans="1:16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</row>
    <row r="377" spans="1:16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</row>
    <row r="378" spans="1:16" x14ac:dyDescent="0.25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</row>
    <row r="379" spans="1:16" x14ac:dyDescent="0.25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</row>
    <row r="380" spans="1:16" x14ac:dyDescent="0.25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</row>
    <row r="381" spans="1:16" x14ac:dyDescent="0.25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</row>
    <row r="382" spans="1:16" x14ac:dyDescent="0.25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</row>
    <row r="383" spans="1:16" x14ac:dyDescent="0.25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</row>
    <row r="384" spans="1:16" x14ac:dyDescent="0.25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</row>
    <row r="385" spans="1:16" x14ac:dyDescent="0.25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</row>
    <row r="386" spans="1:16" x14ac:dyDescent="0.25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</row>
    <row r="387" spans="1:16" x14ac:dyDescent="0.25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</row>
    <row r="388" spans="1:16" x14ac:dyDescent="0.25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</row>
    <row r="389" spans="1:16" x14ac:dyDescent="0.25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</row>
    <row r="390" spans="1:16" x14ac:dyDescent="0.25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</row>
    <row r="391" spans="1:16" x14ac:dyDescent="0.25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</row>
    <row r="392" spans="1:16" x14ac:dyDescent="0.25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</row>
    <row r="393" spans="1:16" x14ac:dyDescent="0.25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</row>
    <row r="394" spans="1:16" x14ac:dyDescent="0.25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</row>
    <row r="395" spans="1:16" x14ac:dyDescent="0.25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</row>
    <row r="396" spans="1:16" x14ac:dyDescent="0.25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</row>
    <row r="397" spans="1:16" x14ac:dyDescent="0.25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</row>
    <row r="398" spans="1:16" x14ac:dyDescent="0.25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</row>
    <row r="399" spans="1:16" x14ac:dyDescent="0.25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</row>
    <row r="400" spans="1:16" x14ac:dyDescent="0.25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</row>
    <row r="401" spans="1:16" x14ac:dyDescent="0.25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</row>
    <row r="402" spans="1:16" x14ac:dyDescent="0.25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</row>
    <row r="403" spans="1:16" x14ac:dyDescent="0.25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</row>
    <row r="404" spans="1:16" x14ac:dyDescent="0.25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</row>
    <row r="405" spans="1:16" x14ac:dyDescent="0.25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</row>
    <row r="406" spans="1:16" x14ac:dyDescent="0.25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</row>
    <row r="407" spans="1:16" x14ac:dyDescent="0.25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</row>
    <row r="408" spans="1:16" x14ac:dyDescent="0.25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</row>
    <row r="409" spans="1:16" x14ac:dyDescent="0.25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</row>
    <row r="410" spans="1:16" x14ac:dyDescent="0.25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</row>
    <row r="411" spans="1:16" x14ac:dyDescent="0.25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</row>
    <row r="412" spans="1:16" x14ac:dyDescent="0.25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</row>
    <row r="413" spans="1:16" x14ac:dyDescent="0.25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</row>
    <row r="414" spans="1:16" x14ac:dyDescent="0.25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</row>
    <row r="415" spans="1:16" x14ac:dyDescent="0.25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</row>
    <row r="416" spans="1:16" x14ac:dyDescent="0.25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</row>
    <row r="417" spans="1:16" x14ac:dyDescent="0.25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</row>
    <row r="418" spans="1:16" x14ac:dyDescent="0.25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</row>
    <row r="419" spans="1:16" x14ac:dyDescent="0.25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</row>
    <row r="420" spans="1:16" x14ac:dyDescent="0.25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</row>
    <row r="421" spans="1:16" x14ac:dyDescent="0.25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</row>
    <row r="422" spans="1:16" x14ac:dyDescent="0.25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</row>
    <row r="423" spans="1:16" x14ac:dyDescent="0.25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</row>
    <row r="424" spans="1:16" x14ac:dyDescent="0.25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</row>
    <row r="425" spans="1:16" x14ac:dyDescent="0.25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</row>
    <row r="426" spans="1:16" x14ac:dyDescent="0.25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</row>
    <row r="427" spans="1:16" x14ac:dyDescent="0.25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</row>
    <row r="428" spans="1:16" x14ac:dyDescent="0.25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</row>
    <row r="429" spans="1:16" x14ac:dyDescent="0.25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</row>
    <row r="430" spans="1:16" x14ac:dyDescent="0.25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</row>
    <row r="431" spans="1:16" x14ac:dyDescent="0.25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</row>
    <row r="432" spans="1:16" x14ac:dyDescent="0.25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</row>
    <row r="433" spans="1:16" x14ac:dyDescent="0.25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</row>
    <row r="434" spans="1:16" x14ac:dyDescent="0.25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</row>
    <row r="435" spans="1:16" x14ac:dyDescent="0.25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</row>
    <row r="436" spans="1:16" x14ac:dyDescent="0.25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</row>
    <row r="437" spans="1:16" x14ac:dyDescent="0.25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</row>
    <row r="438" spans="1:16" x14ac:dyDescent="0.25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</row>
    <row r="439" spans="1:16" x14ac:dyDescent="0.25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</row>
    <row r="440" spans="1:16" x14ac:dyDescent="0.25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</row>
    <row r="441" spans="1:16" x14ac:dyDescent="0.25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</row>
    <row r="442" spans="1:16" x14ac:dyDescent="0.25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</row>
    <row r="443" spans="1:16" x14ac:dyDescent="0.25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</row>
    <row r="444" spans="1:16" x14ac:dyDescent="0.25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</row>
    <row r="445" spans="1:16" x14ac:dyDescent="0.25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</row>
    <row r="446" spans="1:16" x14ac:dyDescent="0.25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</row>
    <row r="447" spans="1:16" x14ac:dyDescent="0.25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</row>
    <row r="448" spans="1:16" x14ac:dyDescent="0.25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</row>
    <row r="449" spans="1:16" x14ac:dyDescent="0.25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</row>
    <row r="450" spans="1:16" x14ac:dyDescent="0.25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</row>
    <row r="451" spans="1:16" x14ac:dyDescent="0.25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</row>
    <row r="452" spans="1:16" x14ac:dyDescent="0.25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</row>
    <row r="453" spans="1:16" x14ac:dyDescent="0.25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</row>
    <row r="454" spans="1:16" x14ac:dyDescent="0.25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</row>
    <row r="455" spans="1:16" x14ac:dyDescent="0.25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</row>
    <row r="456" spans="1:16" x14ac:dyDescent="0.25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</row>
    <row r="457" spans="1:16" x14ac:dyDescent="0.25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</row>
    <row r="458" spans="1:16" x14ac:dyDescent="0.25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</row>
    <row r="459" spans="1:16" x14ac:dyDescent="0.25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</row>
    <row r="460" spans="1:16" x14ac:dyDescent="0.25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</row>
    <row r="461" spans="1:16" x14ac:dyDescent="0.25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</row>
    <row r="462" spans="1:16" x14ac:dyDescent="0.25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</row>
    <row r="463" spans="1:16" x14ac:dyDescent="0.25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</row>
    <row r="464" spans="1:16" x14ac:dyDescent="0.25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</row>
    <row r="465" spans="1:16" x14ac:dyDescent="0.25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</row>
    <row r="466" spans="1:16" x14ac:dyDescent="0.25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</row>
    <row r="467" spans="1:16" x14ac:dyDescent="0.25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</row>
    <row r="468" spans="1:16" x14ac:dyDescent="0.25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</row>
    <row r="469" spans="1:16" x14ac:dyDescent="0.25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</row>
    <row r="470" spans="1:16" x14ac:dyDescent="0.25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</row>
    <row r="471" spans="1:16" x14ac:dyDescent="0.25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</row>
    <row r="472" spans="1:16" x14ac:dyDescent="0.25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</row>
    <row r="473" spans="1:16" x14ac:dyDescent="0.25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</row>
    <row r="474" spans="1:16" x14ac:dyDescent="0.25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</row>
    <row r="475" spans="1:16" x14ac:dyDescent="0.25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</row>
    <row r="476" spans="1:16" x14ac:dyDescent="0.25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</row>
    <row r="477" spans="1:16" x14ac:dyDescent="0.25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</row>
    <row r="478" spans="1:16" x14ac:dyDescent="0.25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</row>
    <row r="479" spans="1:16" x14ac:dyDescent="0.25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</row>
    <row r="480" spans="1:16" x14ac:dyDescent="0.25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</row>
    <row r="481" spans="1:16" x14ac:dyDescent="0.25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</row>
    <row r="482" spans="1:16" x14ac:dyDescent="0.25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</row>
    <row r="483" spans="1:16" x14ac:dyDescent="0.25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</row>
    <row r="484" spans="1:16" x14ac:dyDescent="0.25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</row>
    <row r="485" spans="1:16" x14ac:dyDescent="0.25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</row>
    <row r="486" spans="1:16" x14ac:dyDescent="0.25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</row>
    <row r="487" spans="1:16" x14ac:dyDescent="0.25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</row>
    <row r="488" spans="1:16" x14ac:dyDescent="0.25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</row>
    <row r="489" spans="1:16" x14ac:dyDescent="0.25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</row>
    <row r="490" spans="1:16" x14ac:dyDescent="0.25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</row>
    <row r="491" spans="1:16" x14ac:dyDescent="0.25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</row>
    <row r="492" spans="1:16" x14ac:dyDescent="0.25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</row>
    <row r="493" spans="1:16" x14ac:dyDescent="0.25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</row>
    <row r="494" spans="1:16" x14ac:dyDescent="0.25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</row>
    <row r="495" spans="1:16" x14ac:dyDescent="0.25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</row>
    <row r="496" spans="1:16" x14ac:dyDescent="0.25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</row>
    <row r="497" spans="1:16" x14ac:dyDescent="0.25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</row>
    <row r="498" spans="1:16" x14ac:dyDescent="0.25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</row>
    <row r="499" spans="1:16" x14ac:dyDescent="0.25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</row>
    <row r="500" spans="1:16" x14ac:dyDescent="0.25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</row>
    <row r="501" spans="1:16" x14ac:dyDescent="0.25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</row>
    <row r="502" spans="1:16" x14ac:dyDescent="0.25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</row>
    <row r="503" spans="1:16" x14ac:dyDescent="0.25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</row>
    <row r="504" spans="1:16" x14ac:dyDescent="0.25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</row>
    <row r="505" spans="1:16" x14ac:dyDescent="0.25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</row>
    <row r="506" spans="1:16" x14ac:dyDescent="0.25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</row>
    <row r="507" spans="1:16" x14ac:dyDescent="0.25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</row>
    <row r="508" spans="1:16" x14ac:dyDescent="0.25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</row>
    <row r="509" spans="1:16" x14ac:dyDescent="0.25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</row>
    <row r="510" spans="1:16" x14ac:dyDescent="0.25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</row>
    <row r="511" spans="1:16" x14ac:dyDescent="0.25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</row>
    <row r="512" spans="1:16" x14ac:dyDescent="0.25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</row>
    <row r="513" spans="1:16" x14ac:dyDescent="0.25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</row>
    <row r="514" spans="1:16" x14ac:dyDescent="0.25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</row>
    <row r="515" spans="1:16" x14ac:dyDescent="0.25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</row>
    <row r="516" spans="1:16" x14ac:dyDescent="0.25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</row>
    <row r="517" spans="1:16" x14ac:dyDescent="0.25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</row>
    <row r="518" spans="1:16" x14ac:dyDescent="0.25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</row>
    <row r="519" spans="1:16" x14ac:dyDescent="0.25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</row>
    <row r="520" spans="1:16" x14ac:dyDescent="0.25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</row>
    <row r="521" spans="1:16" x14ac:dyDescent="0.25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</row>
    <row r="522" spans="1:16" x14ac:dyDescent="0.25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</row>
    <row r="523" spans="1:16" x14ac:dyDescent="0.25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</row>
    <row r="524" spans="1:16" x14ac:dyDescent="0.25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</row>
    <row r="525" spans="1:16" x14ac:dyDescent="0.25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</row>
    <row r="526" spans="1:16" x14ac:dyDescent="0.25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</row>
    <row r="527" spans="1:16" x14ac:dyDescent="0.25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</row>
    <row r="528" spans="1:16" x14ac:dyDescent="0.25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</row>
    <row r="529" spans="1:16" x14ac:dyDescent="0.25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</row>
    <row r="530" spans="1:16" x14ac:dyDescent="0.25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</row>
    <row r="531" spans="1:16" x14ac:dyDescent="0.25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</row>
    <row r="532" spans="1:16" x14ac:dyDescent="0.25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</row>
    <row r="533" spans="1:16" x14ac:dyDescent="0.25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</row>
    <row r="534" spans="1:16" x14ac:dyDescent="0.25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</row>
    <row r="535" spans="1:16" x14ac:dyDescent="0.25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</row>
    <row r="536" spans="1:16" x14ac:dyDescent="0.25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</row>
    <row r="537" spans="1:16" x14ac:dyDescent="0.25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</row>
    <row r="538" spans="1:16" x14ac:dyDescent="0.25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</row>
    <row r="539" spans="1:16" x14ac:dyDescent="0.25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</row>
    <row r="540" spans="1:16" x14ac:dyDescent="0.25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</row>
    <row r="541" spans="1:16" x14ac:dyDescent="0.25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</row>
    <row r="542" spans="1:16" x14ac:dyDescent="0.25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</row>
    <row r="543" spans="1:16" x14ac:dyDescent="0.25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</row>
    <row r="544" spans="1:16" x14ac:dyDescent="0.25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</row>
    <row r="545" spans="1:16" x14ac:dyDescent="0.25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</row>
    <row r="546" spans="1:16" x14ac:dyDescent="0.25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</row>
    <row r="547" spans="1:16" x14ac:dyDescent="0.25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</row>
    <row r="548" spans="1:16" x14ac:dyDescent="0.25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</row>
    <row r="549" spans="1:16" x14ac:dyDescent="0.25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</row>
    <row r="550" spans="1:16" x14ac:dyDescent="0.25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</row>
    <row r="551" spans="1:16" x14ac:dyDescent="0.25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</row>
    <row r="552" spans="1:16" x14ac:dyDescent="0.25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</row>
    <row r="553" spans="1:16" x14ac:dyDescent="0.25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</row>
    <row r="554" spans="1:16" x14ac:dyDescent="0.25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</row>
    <row r="555" spans="1:16" x14ac:dyDescent="0.25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</row>
    <row r="556" spans="1:16" x14ac:dyDescent="0.25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</row>
    <row r="557" spans="1:16" x14ac:dyDescent="0.25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</row>
    <row r="558" spans="1:16" x14ac:dyDescent="0.25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</row>
    <row r="559" spans="1:16" x14ac:dyDescent="0.25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</row>
    <row r="560" spans="1:16" x14ac:dyDescent="0.25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</row>
    <row r="561" spans="1:16" x14ac:dyDescent="0.25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</row>
    <row r="562" spans="1:16" x14ac:dyDescent="0.25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</row>
    <row r="563" spans="1:16" x14ac:dyDescent="0.25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</row>
    <row r="564" spans="1:16" x14ac:dyDescent="0.25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</row>
    <row r="565" spans="1:16" x14ac:dyDescent="0.25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</row>
    <row r="566" spans="1:16" x14ac:dyDescent="0.25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</row>
    <row r="567" spans="1:16" x14ac:dyDescent="0.25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</row>
    <row r="568" spans="1:16" x14ac:dyDescent="0.25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</row>
    <row r="569" spans="1:16" x14ac:dyDescent="0.25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</row>
    <row r="570" spans="1:16" x14ac:dyDescent="0.25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</row>
    <row r="571" spans="1:16" x14ac:dyDescent="0.25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</row>
    <row r="572" spans="1:16" x14ac:dyDescent="0.25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</row>
    <row r="573" spans="1:16" x14ac:dyDescent="0.25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</row>
    <row r="574" spans="1:16" x14ac:dyDescent="0.25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</row>
    <row r="575" spans="1:16" x14ac:dyDescent="0.25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</row>
    <row r="576" spans="1:16" x14ac:dyDescent="0.25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</row>
    <row r="577" spans="1:16" x14ac:dyDescent="0.25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</row>
    <row r="578" spans="1:16" x14ac:dyDescent="0.25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</row>
    <row r="579" spans="1:16" x14ac:dyDescent="0.25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</row>
    <row r="580" spans="1:16" x14ac:dyDescent="0.25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</row>
    <row r="581" spans="1:16" x14ac:dyDescent="0.25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</row>
    <row r="582" spans="1:16" x14ac:dyDescent="0.25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</row>
    <row r="583" spans="1:16" x14ac:dyDescent="0.25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</row>
    <row r="584" spans="1:16" x14ac:dyDescent="0.25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</row>
    <row r="585" spans="1:16" x14ac:dyDescent="0.25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</row>
    <row r="586" spans="1:16" x14ac:dyDescent="0.25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</row>
    <row r="587" spans="1:16" x14ac:dyDescent="0.25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</row>
    <row r="588" spans="1:16" x14ac:dyDescent="0.25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</row>
    <row r="589" spans="1:16" x14ac:dyDescent="0.25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</row>
    <row r="590" spans="1:16" x14ac:dyDescent="0.25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</row>
    <row r="591" spans="1:16" x14ac:dyDescent="0.25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</row>
    <row r="592" spans="1:16" x14ac:dyDescent="0.25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</row>
    <row r="593" spans="1:16" x14ac:dyDescent="0.25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</row>
    <row r="594" spans="1:16" x14ac:dyDescent="0.25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</row>
    <row r="595" spans="1:16" x14ac:dyDescent="0.25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</row>
    <row r="596" spans="1:16" x14ac:dyDescent="0.25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</row>
    <row r="597" spans="1:16" x14ac:dyDescent="0.25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</row>
    <row r="598" spans="1:16" x14ac:dyDescent="0.25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</row>
    <row r="599" spans="1:16" x14ac:dyDescent="0.25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</row>
    <row r="600" spans="1:16" x14ac:dyDescent="0.25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</row>
    <row r="601" spans="1:16" x14ac:dyDescent="0.25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</row>
    <row r="602" spans="1:16" x14ac:dyDescent="0.25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</row>
    <row r="603" spans="1:16" x14ac:dyDescent="0.25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</row>
    <row r="604" spans="1:16" x14ac:dyDescent="0.25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</row>
    <row r="605" spans="1:16" x14ac:dyDescent="0.25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</row>
    <row r="606" spans="1:16" x14ac:dyDescent="0.25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</row>
    <row r="607" spans="1:16" x14ac:dyDescent="0.25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</row>
    <row r="608" spans="1:16" x14ac:dyDescent="0.25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</row>
    <row r="609" spans="1:16" x14ac:dyDescent="0.25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</row>
    <row r="610" spans="1:16" x14ac:dyDescent="0.25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</row>
    <row r="611" spans="1:16" x14ac:dyDescent="0.25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</row>
    <row r="612" spans="1:16" x14ac:dyDescent="0.25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</row>
    <row r="613" spans="1:16" x14ac:dyDescent="0.25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</row>
    <row r="614" spans="1:16" x14ac:dyDescent="0.25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</row>
    <row r="615" spans="1:16" x14ac:dyDescent="0.25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</row>
    <row r="616" spans="1:16" x14ac:dyDescent="0.25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</row>
    <row r="617" spans="1:16" x14ac:dyDescent="0.25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</row>
    <row r="618" spans="1:16" x14ac:dyDescent="0.25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</row>
    <row r="619" spans="1:16" x14ac:dyDescent="0.25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</row>
    <row r="620" spans="1:16" x14ac:dyDescent="0.25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</row>
    <row r="621" spans="1:16" x14ac:dyDescent="0.25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</row>
    <row r="622" spans="1:16" x14ac:dyDescent="0.25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</row>
    <row r="623" spans="1:16" x14ac:dyDescent="0.25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</row>
    <row r="624" spans="1:16" x14ac:dyDescent="0.25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</row>
    <row r="625" spans="1:16" x14ac:dyDescent="0.25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</row>
    <row r="626" spans="1:16" x14ac:dyDescent="0.25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</row>
    <row r="627" spans="1:16" x14ac:dyDescent="0.25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</row>
    <row r="628" spans="1:16" x14ac:dyDescent="0.25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</row>
    <row r="629" spans="1:16" x14ac:dyDescent="0.25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</row>
    <row r="630" spans="1:16" x14ac:dyDescent="0.25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</row>
    <row r="631" spans="1:16" x14ac:dyDescent="0.25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</row>
    <row r="632" spans="1:16" x14ac:dyDescent="0.25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</row>
    <row r="633" spans="1:16" x14ac:dyDescent="0.25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</row>
    <row r="634" spans="1:16" x14ac:dyDescent="0.25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</row>
    <row r="635" spans="1:16" x14ac:dyDescent="0.25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</row>
    <row r="636" spans="1:16" x14ac:dyDescent="0.25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</row>
    <row r="637" spans="1:16" x14ac:dyDescent="0.25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</row>
    <row r="638" spans="1:16" x14ac:dyDescent="0.25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</row>
    <row r="639" spans="1:16" x14ac:dyDescent="0.25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</row>
    <row r="640" spans="1:16" x14ac:dyDescent="0.25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</row>
    <row r="641" spans="1:16" x14ac:dyDescent="0.25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</row>
    <row r="642" spans="1:16" x14ac:dyDescent="0.25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</row>
    <row r="643" spans="1:16" x14ac:dyDescent="0.25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</row>
    <row r="644" spans="1:16" x14ac:dyDescent="0.25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</row>
    <row r="645" spans="1:16" x14ac:dyDescent="0.25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</row>
    <row r="646" spans="1:16" x14ac:dyDescent="0.25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HOJA2011">
                <anchor moveWithCells="1" sizeWithCells="1">
                  <from>
                    <xdr:col>1</xdr:col>
                    <xdr:colOff>123825</xdr:colOff>
                    <xdr:row>5</xdr:row>
                    <xdr:rowOff>133350</xdr:rowOff>
                  </from>
                  <to>
                    <xdr:col>3</xdr:col>
                    <xdr:colOff>857250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AÑO2014">
                <anchor moveWithCells="1" sizeWithCells="1">
                  <from>
                    <xdr:col>3</xdr:col>
                    <xdr:colOff>1066800</xdr:colOff>
                    <xdr:row>5</xdr:row>
                    <xdr:rowOff>133350</xdr:rowOff>
                  </from>
                  <to>
                    <xdr:col>4</xdr:col>
                    <xdr:colOff>1104900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AÑO16">
                <anchor moveWithCells="1" sizeWithCells="1">
                  <from>
                    <xdr:col>4</xdr:col>
                    <xdr:colOff>1314450</xdr:colOff>
                    <xdr:row>5</xdr:row>
                    <xdr:rowOff>142875</xdr:rowOff>
                  </from>
                  <to>
                    <xdr:col>7</xdr:col>
                    <xdr:colOff>142875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utton 7">
              <controlPr defaultSize="0" print="0" autoFill="0" autoPict="0" macro="[0]!AÑO17">
                <anchor moveWithCells="1" sizeWithCells="1">
                  <from>
                    <xdr:col>7</xdr:col>
                    <xdr:colOff>390525</xdr:colOff>
                    <xdr:row>5</xdr:row>
                    <xdr:rowOff>142875</xdr:rowOff>
                  </from>
                  <to>
                    <xdr:col>10</xdr:col>
                    <xdr:colOff>390525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AÑO2018">
                <anchor moveWithCells="1" sizeWithCells="1">
                  <from>
                    <xdr:col>1</xdr:col>
                    <xdr:colOff>85725</xdr:colOff>
                    <xdr:row>16</xdr:row>
                    <xdr:rowOff>38100</xdr:rowOff>
                  </from>
                  <to>
                    <xdr:col>3</xdr:col>
                    <xdr:colOff>847725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AÑO2019">
                <anchor moveWithCells="1" sizeWithCells="1">
                  <from>
                    <xdr:col>3</xdr:col>
                    <xdr:colOff>1066800</xdr:colOff>
                    <xdr:row>16</xdr:row>
                    <xdr:rowOff>47625</xdr:rowOff>
                  </from>
                  <to>
                    <xdr:col>4</xdr:col>
                    <xdr:colOff>1104900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0" name="Button 10">
              <controlPr defaultSize="0" print="0" autoFill="0" autoPict="0" macro="[0]!AÑO2020">
                <anchor moveWithCells="1" sizeWithCells="1">
                  <from>
                    <xdr:col>4</xdr:col>
                    <xdr:colOff>1333500</xdr:colOff>
                    <xdr:row>16</xdr:row>
                    <xdr:rowOff>47625</xdr:rowOff>
                  </from>
                  <to>
                    <xdr:col>7</xdr:col>
                    <xdr:colOff>161925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1" name="Button 11">
              <controlPr defaultSize="0" print="0" autoFill="0" autoPict="0" macro="[0]!AÑO2021">
                <anchor moveWithCells="1" sizeWithCells="1">
                  <from>
                    <xdr:col>7</xdr:col>
                    <xdr:colOff>428625</xdr:colOff>
                    <xdr:row>16</xdr:row>
                    <xdr:rowOff>38100</xdr:rowOff>
                  </from>
                  <to>
                    <xdr:col>10</xdr:col>
                    <xdr:colOff>428625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2" name="Button 12">
              <controlPr defaultSize="0" print="0" autoFill="0" autoPict="0" macro="[0]!AÑO2022">
                <anchor moveWithCells="1" sizeWithCells="1">
                  <from>
                    <xdr:col>1</xdr:col>
                    <xdr:colOff>76200</xdr:colOff>
                    <xdr:row>26</xdr:row>
                    <xdr:rowOff>85725</xdr:rowOff>
                  </from>
                  <to>
                    <xdr:col>3</xdr:col>
                    <xdr:colOff>838200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3" name="Button 13">
              <controlPr defaultSize="0" print="0" autoFill="0" autoPict="0" macro="[0]!EREREE">
                <anchor moveWithCells="1" sizeWithCells="1">
                  <from>
                    <xdr:col>3</xdr:col>
                    <xdr:colOff>1076325</xdr:colOff>
                    <xdr:row>26</xdr:row>
                    <xdr:rowOff>95250</xdr:rowOff>
                  </from>
                  <to>
                    <xdr:col>4</xdr:col>
                    <xdr:colOff>1114425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4" name="Button 14">
              <controlPr defaultSize="0" print="0" autoFill="0" autoPict="0" macro="[0]!JHBGBJ">
                <anchor moveWithCells="1" sizeWithCells="1">
                  <from>
                    <xdr:col>4</xdr:col>
                    <xdr:colOff>1352550</xdr:colOff>
                    <xdr:row>26</xdr:row>
                    <xdr:rowOff>104775</xdr:rowOff>
                  </from>
                  <to>
                    <xdr:col>7</xdr:col>
                    <xdr:colOff>180975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5" name="Button 15">
              <controlPr defaultSize="0" print="0" autoFill="0" autoPict="0" macro="[0]!_xlnm.Database">
                <anchor moveWithCells="1" sizeWithCells="1">
                  <from>
                    <xdr:col>7</xdr:col>
                    <xdr:colOff>447675</xdr:colOff>
                    <xdr:row>26</xdr:row>
                    <xdr:rowOff>104775</xdr:rowOff>
                  </from>
                  <to>
                    <xdr:col>10</xdr:col>
                    <xdr:colOff>447675</xdr:colOff>
                    <xdr:row>35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7D5F-4443-4D12-8AA8-826F1D3C472B}">
  <sheetPr codeName="Hoja1">
    <tabColor theme="8" tint="0.39997558519241921"/>
  </sheetPr>
  <dimension ref="A1:P637"/>
  <sheetViews>
    <sheetView workbookViewId="0">
      <selection activeCell="B22" sqref="B22"/>
    </sheetView>
  </sheetViews>
  <sheetFormatPr baseColWidth="10" defaultRowHeight="15" x14ac:dyDescent="0.25"/>
  <cols>
    <col min="1" max="1" width="42" customWidth="1"/>
    <col min="2" max="2" width="24.28515625" customWidth="1"/>
    <col min="3" max="3" width="12" customWidth="1"/>
    <col min="4" max="4" width="6.85546875" customWidth="1"/>
    <col min="5" max="5" width="37" customWidth="1"/>
    <col min="6" max="6" width="24.140625" customWidth="1"/>
    <col min="7" max="7" width="12" customWidth="1"/>
    <col min="8" max="10" width="11.42578125" customWidth="1"/>
  </cols>
  <sheetData>
    <row r="1" spans="1:1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19.5" customHeight="1" x14ac:dyDescent="0.25">
      <c r="A3" s="2"/>
      <c r="B3" s="2"/>
      <c r="C3" s="2"/>
      <c r="D3" s="2"/>
      <c r="E3" s="5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ht="15" customHeight="1" x14ac:dyDescent="0.4">
      <c r="A4" s="2"/>
      <c r="B4" s="2"/>
      <c r="C4" s="2"/>
      <c r="D4" s="2"/>
      <c r="E4" s="2"/>
      <c r="F4" s="2"/>
      <c r="G4" s="2"/>
      <c r="H4" s="6"/>
      <c r="I4" s="2"/>
      <c r="J4" s="2"/>
      <c r="K4" s="2"/>
      <c r="L4" s="2"/>
      <c r="M4" s="2"/>
      <c r="N4" s="2"/>
      <c r="O4" s="2"/>
      <c r="P4" s="2"/>
    </row>
    <row r="5" spans="1:16" ht="15" customHeight="1" thickBot="1" x14ac:dyDescent="0.3">
      <c r="A5" s="2"/>
      <c r="B5" s="2"/>
      <c r="C5" s="2"/>
      <c r="D5" s="2"/>
      <c r="E5" s="2"/>
      <c r="F5" s="2"/>
      <c r="G5" s="2"/>
      <c r="H5" s="5"/>
      <c r="I5" s="2"/>
      <c r="J5" s="2"/>
      <c r="K5" s="2"/>
      <c r="L5" s="2"/>
      <c r="M5" s="2"/>
      <c r="N5" s="2"/>
      <c r="O5" s="2"/>
      <c r="P5" s="2"/>
    </row>
    <row r="6" spans="1:16" ht="27" thickBot="1" x14ac:dyDescent="0.45">
      <c r="A6" s="2"/>
      <c r="B6" s="2"/>
      <c r="C6" s="2"/>
      <c r="D6" s="2"/>
      <c r="E6" s="44" t="s">
        <v>3</v>
      </c>
      <c r="F6" s="4" t="s">
        <v>1</v>
      </c>
      <c r="G6" s="41" t="s">
        <v>2</v>
      </c>
      <c r="H6" s="2"/>
      <c r="I6" s="2"/>
      <c r="J6" s="2"/>
      <c r="K6" s="2"/>
      <c r="L6" s="2"/>
      <c r="M6" s="2"/>
      <c r="N6" s="2"/>
      <c r="O6" s="2"/>
      <c r="P6" s="2"/>
    </row>
    <row r="7" spans="1:16" ht="19.5" thickBot="1" x14ac:dyDescent="0.35">
      <c r="A7" s="2"/>
      <c r="B7" s="2"/>
      <c r="C7" s="2"/>
      <c r="D7" s="2"/>
      <c r="E7" s="17"/>
      <c r="F7" s="18" t="s">
        <v>5</v>
      </c>
      <c r="G7" s="26" t="s">
        <v>443</v>
      </c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ht="15.75" thickBo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ht="18.75" customHeight="1" thickBot="1" x14ac:dyDescent="0.35">
      <c r="A11" s="45" t="s">
        <v>3</v>
      </c>
      <c r="B11" s="46" t="s">
        <v>1</v>
      </c>
      <c r="C11" s="47" t="s">
        <v>2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ht="19.5" thickBot="1" x14ac:dyDescent="0.35">
      <c r="A12" s="17" t="s">
        <v>6</v>
      </c>
      <c r="B12" s="18" t="s">
        <v>5</v>
      </c>
      <c r="C12" s="43" t="s">
        <v>118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ht="19.5" thickBot="1" x14ac:dyDescent="0.35">
      <c r="A13" s="18" t="s">
        <v>9</v>
      </c>
      <c r="B13" s="30"/>
      <c r="C13" s="18">
        <f>SUBTOTAL(103,TABLA2011[FICHA])</f>
        <v>1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/>
      <c r="B17" s="2"/>
      <c r="C17" s="2"/>
      <c r="D17" s="5"/>
      <c r="E17" s="5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5"/>
      <c r="D18" s="5"/>
      <c r="E18" s="5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/>
      <c r="B19" s="2"/>
      <c r="C19" s="5"/>
      <c r="D19" s="5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TextBox1">
          <controlPr defaultSize="0" autoLine="0" autoPict="0" r:id="rId4">
            <anchor moveWithCells="1">
              <from>
                <xdr:col>0</xdr:col>
                <xdr:colOff>47625</xdr:colOff>
                <xdr:row>5</xdr:row>
                <xdr:rowOff>123825</xdr:rowOff>
              </from>
              <to>
                <xdr:col>2</xdr:col>
                <xdr:colOff>790575</xdr:colOff>
                <xdr:row>6</xdr:row>
                <xdr:rowOff>152400</xdr:rowOff>
              </to>
            </anchor>
          </controlPr>
        </control>
      </mc:Choice>
      <mc:Fallback>
        <control shapeId="6161" r:id="rId3" name="TextBox1"/>
      </mc:Fallback>
    </mc:AlternateContent>
    <mc:AlternateContent xmlns:mc="http://schemas.openxmlformats.org/markup-compatibility/2006">
      <mc:Choice Requires="x14">
        <control shapeId="6159" r:id="rId5" name="Button 15">
          <controlPr defaultSize="0" print="0" autoFill="0" autoPict="0" macro="[0]!AÑO2011GUARDAR">
            <anchor moveWithCells="1" sizeWithCells="1">
              <from>
                <xdr:col>4</xdr:col>
                <xdr:colOff>9525</xdr:colOff>
                <xdr:row>7</xdr:row>
                <xdr:rowOff>19050</xdr:rowOff>
              </from>
              <to>
                <xdr:col>5</xdr:col>
                <xdr:colOff>0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0" r:id="rId6" name="Button 16">
          <controlPr defaultSize="0" print="0" autoFill="0" autoPict="0" macro="[0]!_xlnm.Database">
            <anchor moveWithCells="1" sizeWithCells="1">
              <from>
                <xdr:col>5</xdr:col>
                <xdr:colOff>19050</xdr:colOff>
                <xdr:row>7</xdr:row>
                <xdr:rowOff>19050</xdr:rowOff>
              </from>
              <to>
                <xdr:col>6</xdr:col>
                <xdr:colOff>9525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2" r:id="rId7" name="Button 18">
          <controlPr defaultSize="0" print="0" autoFill="0" autoPict="0" macro="[0]!MENU">
            <anchor moveWithCells="1" sizeWithCells="1">
              <from>
                <xdr:col>6</xdr:col>
                <xdr:colOff>19050</xdr:colOff>
                <xdr:row>7</xdr:row>
                <xdr:rowOff>19050</xdr:rowOff>
              </from>
              <to>
                <xdr:col>7</xdr:col>
                <xdr:colOff>9525</xdr:colOff>
                <xdr:row>9</xdr:row>
                <xdr:rowOff>114300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EC09-157C-420D-829C-CBF460ACB970}">
  <sheetPr codeName="Hoja2">
    <tabColor rgb="FF92D050"/>
  </sheetPr>
  <dimension ref="A5:G18"/>
  <sheetViews>
    <sheetView workbookViewId="0">
      <selection activeCell="C16" sqref="C16"/>
    </sheetView>
  </sheetViews>
  <sheetFormatPr baseColWidth="10" defaultRowHeight="15" x14ac:dyDescent="0.25"/>
  <cols>
    <col min="1" max="1" width="40.28515625" style="48" customWidth="1"/>
    <col min="2" max="2" width="19" style="48" customWidth="1"/>
    <col min="3" max="3" width="14.42578125" style="48" customWidth="1"/>
    <col min="4" max="4" width="3.7109375" style="48" customWidth="1"/>
    <col min="5" max="5" width="36.85546875" style="48" customWidth="1"/>
    <col min="6" max="6" width="26.85546875" style="48" customWidth="1"/>
    <col min="7" max="16384" width="11.42578125" style="48"/>
  </cols>
  <sheetData>
    <row r="5" spans="1:7" ht="15.75" thickBot="1" x14ac:dyDescent="0.3"/>
    <row r="6" spans="1:7" ht="31.5" customHeight="1" thickBot="1" x14ac:dyDescent="0.5">
      <c r="E6" s="79" t="s">
        <v>3</v>
      </c>
      <c r="F6" s="80" t="s">
        <v>1</v>
      </c>
      <c r="G6" s="80" t="s">
        <v>2</v>
      </c>
    </row>
    <row r="7" spans="1:7" ht="19.5" thickBot="1" x14ac:dyDescent="0.35">
      <c r="E7" s="19"/>
      <c r="F7" s="26" t="s">
        <v>7</v>
      </c>
      <c r="G7" s="26" t="s">
        <v>443</v>
      </c>
    </row>
    <row r="11" spans="1:7" ht="19.5" thickBot="1" x14ac:dyDescent="0.35">
      <c r="A11" s="85" t="s">
        <v>4</v>
      </c>
      <c r="B11" s="85" t="s">
        <v>1</v>
      </c>
      <c r="C11" s="85" t="s">
        <v>2</v>
      </c>
    </row>
    <row r="12" spans="1:7" ht="19.5" thickBot="1" x14ac:dyDescent="0.35">
      <c r="A12" s="19" t="s">
        <v>8</v>
      </c>
      <c r="B12" s="20" t="s">
        <v>7</v>
      </c>
      <c r="C12" s="21" t="s">
        <v>118</v>
      </c>
    </row>
    <row r="13" spans="1:7" ht="19.5" thickBot="1" x14ac:dyDescent="0.35">
      <c r="A13" s="26" t="s">
        <v>356</v>
      </c>
      <c r="B13" s="26"/>
      <c r="C13" s="26">
        <f>SUBTOTAL(103,TABLA2014[FICHA])</f>
        <v>1</v>
      </c>
    </row>
    <row r="17" spans="6:7" ht="26.25" x14ac:dyDescent="0.4">
      <c r="F17" s="49"/>
      <c r="G17" s="49"/>
    </row>
    <row r="18" spans="6:7" ht="18.75" x14ac:dyDescent="0.3">
      <c r="F18" s="50"/>
      <c r="G18" s="5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9" r:id="rId3" name="TextBox1">
          <controlPr defaultSize="0" autoLine="0" r:id="rId4">
            <anchor moveWithCells="1">
              <from>
                <xdr:col>0</xdr:col>
                <xdr:colOff>47625</xdr:colOff>
                <xdr:row>5</xdr:row>
                <xdr:rowOff>142875</xdr:rowOff>
              </from>
              <to>
                <xdr:col>2</xdr:col>
                <xdr:colOff>847725</xdr:colOff>
                <xdr:row>6</xdr:row>
                <xdr:rowOff>114300</xdr:rowOff>
              </to>
            </anchor>
          </controlPr>
        </control>
      </mc:Choice>
      <mc:Fallback>
        <control shapeId="8199" r:id="rId3" name="TextBox1"/>
      </mc:Fallback>
    </mc:AlternateContent>
    <mc:AlternateContent xmlns:mc="http://schemas.openxmlformats.org/markup-compatibility/2006">
      <mc:Choice Requires="x14">
        <control shapeId="8196" r:id="rId5" name="Button 4">
          <controlPr defaultSize="0" print="0" autoFill="0" autoPict="0" macro="[0]!AÑO2014GUARDAR">
            <anchor moveWithCells="1" sizeWithCells="1">
              <from>
                <xdr:col>4</xdr:col>
                <xdr:colOff>0</xdr:colOff>
                <xdr:row>7</xdr:row>
                <xdr:rowOff>19050</xdr:rowOff>
              </from>
              <to>
                <xdr:col>4</xdr:col>
                <xdr:colOff>2457450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6" name="Button 5">
          <controlPr defaultSize="0" print="0" autoFill="0" autoPict="0" macro="[0]!_xlnm.Database">
            <anchor moveWithCells="1" sizeWithCells="1">
              <from>
                <xdr:col>5</xdr:col>
                <xdr:colOff>0</xdr:colOff>
                <xdr:row>7</xdr:row>
                <xdr:rowOff>19050</xdr:rowOff>
              </from>
              <to>
                <xdr:col>6</xdr:col>
                <xdr:colOff>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7" name="Button 6">
          <controlPr defaultSize="0" print="0" autoFill="0" autoPict="0" macro="[0]!MENU">
            <anchor moveWithCells="1" siz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0</xdr:colOff>
                <xdr:row>9</xdr:row>
                <xdr:rowOff>19050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DE60E-6E94-4B65-990A-CAB2E40F489A}">
  <sheetPr codeName="Hoja4">
    <tabColor rgb="FF00B0F0"/>
  </sheetPr>
  <dimension ref="A1:T1042"/>
  <sheetViews>
    <sheetView workbookViewId="0">
      <selection activeCell="E20" sqref="E20"/>
    </sheetView>
  </sheetViews>
  <sheetFormatPr baseColWidth="10" defaultRowHeight="15" x14ac:dyDescent="0.25"/>
  <cols>
    <col min="1" max="1" width="43.5703125" customWidth="1"/>
    <col min="2" max="2" width="18.140625" customWidth="1"/>
    <col min="3" max="3" width="12" customWidth="1"/>
    <col min="4" max="4" width="4.28515625" customWidth="1"/>
    <col min="5" max="5" width="36.5703125" customWidth="1"/>
    <col min="6" max="6" width="24" customWidth="1"/>
  </cols>
  <sheetData>
    <row r="1" spans="1:20" s="59" customFormat="1" x14ac:dyDescent="0.25"/>
    <row r="2" spans="1:20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</row>
    <row r="5" spans="1:20" ht="15.75" thickBot="1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0" ht="27" thickBot="1" x14ac:dyDescent="0.45">
      <c r="A6" s="7"/>
      <c r="B6" s="7"/>
      <c r="C6" s="7"/>
      <c r="D6" s="7"/>
      <c r="E6" s="81" t="s">
        <v>3</v>
      </c>
      <c r="F6" s="82" t="s">
        <v>1</v>
      </c>
      <c r="G6" s="83" t="s">
        <v>2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 ht="19.5" thickBot="1" x14ac:dyDescent="0.35">
      <c r="A7" s="7"/>
      <c r="B7" s="7"/>
      <c r="C7" s="7"/>
      <c r="D7" s="7"/>
      <c r="E7" s="55"/>
      <c r="F7" s="54" t="s">
        <v>11</v>
      </c>
      <c r="G7" s="24" t="s">
        <v>122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1:20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20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</row>
    <row r="10" spans="1:20" ht="15.75" thickBot="1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0" ht="19.5" thickBot="1" x14ac:dyDescent="0.35">
      <c r="A11" s="84" t="s">
        <v>4</v>
      </c>
      <c r="B11" s="84" t="s">
        <v>1</v>
      </c>
      <c r="C11" s="84" t="s">
        <v>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</row>
    <row r="12" spans="1:20" ht="19.5" thickBot="1" x14ac:dyDescent="0.35">
      <c r="A12" s="23" t="s">
        <v>14</v>
      </c>
      <c r="B12" s="38" t="s">
        <v>11</v>
      </c>
      <c r="C12" s="39" t="s">
        <v>118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ht="19.5" thickBot="1" x14ac:dyDescent="0.35">
      <c r="A13" s="23" t="s">
        <v>12</v>
      </c>
      <c r="B13" s="38" t="s">
        <v>11</v>
      </c>
      <c r="C13" s="39" t="s">
        <v>119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ht="19.5" thickBot="1" x14ac:dyDescent="0.35">
      <c r="A14" s="23" t="s">
        <v>13</v>
      </c>
      <c r="B14" s="38" t="s">
        <v>11</v>
      </c>
      <c r="C14" s="39" t="s">
        <v>120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9.5" thickBot="1" x14ac:dyDescent="0.35">
      <c r="A15" s="24" t="s">
        <v>10</v>
      </c>
      <c r="B15" s="38" t="s">
        <v>11</v>
      </c>
      <c r="C15" s="39" t="s">
        <v>121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9.5" thickBot="1" x14ac:dyDescent="0.35">
      <c r="A16" s="56" t="s">
        <v>356</v>
      </c>
      <c r="B16" s="56"/>
      <c r="C16" s="56">
        <f>SUBTOTAL(103,AÑO2016[FICHA])</f>
        <v>4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</row>
    <row r="51" spans="1:20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</row>
    <row r="52" spans="1:20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</row>
    <row r="53" spans="1:20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</row>
    <row r="54" spans="1:20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</row>
    <row r="55" spans="1:20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</row>
    <row r="56" spans="1:20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</row>
    <row r="57" spans="1:20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</row>
    <row r="58" spans="1:20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</row>
    <row r="59" spans="1:20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</row>
    <row r="60" spans="1:20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</row>
    <row r="61" spans="1:20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</row>
    <row r="62" spans="1:20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</row>
    <row r="63" spans="1:20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</row>
    <row r="64" spans="1:20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</row>
    <row r="65" spans="1:20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</row>
    <row r="66" spans="1:20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</row>
    <row r="67" spans="1:20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</row>
    <row r="68" spans="1:20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</row>
    <row r="69" spans="1:20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</row>
    <row r="70" spans="1:20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</row>
    <row r="71" spans="1:20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</row>
    <row r="72" spans="1:20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</row>
    <row r="73" spans="1:20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</row>
    <row r="74" spans="1:20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</row>
    <row r="75" spans="1:20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</row>
    <row r="76" spans="1:20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</row>
    <row r="77" spans="1:20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</row>
    <row r="78" spans="1:20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</row>
    <row r="79" spans="1:20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</row>
    <row r="80" spans="1:20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</row>
    <row r="81" spans="1:20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</row>
    <row r="82" spans="1:20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</row>
    <row r="83" spans="1:20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</row>
    <row r="84" spans="1:20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</row>
    <row r="85" spans="1:20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</row>
    <row r="86" spans="1:20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</row>
    <row r="87" spans="1:20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</row>
    <row r="88" spans="1:20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</row>
    <row r="89" spans="1:20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</row>
    <row r="90" spans="1:20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</row>
    <row r="91" spans="1:20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</row>
    <row r="92" spans="1:20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</row>
    <row r="93" spans="1:20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</row>
    <row r="94" spans="1:20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</row>
    <row r="95" spans="1:20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</row>
    <row r="96" spans="1:20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</row>
    <row r="97" spans="1:20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</row>
    <row r="98" spans="1:20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</row>
    <row r="99" spans="1:20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</row>
    <row r="100" spans="1:20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</row>
    <row r="101" spans="1:20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</row>
    <row r="102" spans="1:20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</row>
    <row r="103" spans="1:20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</row>
    <row r="104" spans="1:20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</row>
    <row r="105" spans="1:20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</row>
    <row r="106" spans="1:20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</row>
    <row r="107" spans="1:20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</row>
    <row r="108" spans="1:20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</row>
    <row r="109" spans="1:20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</row>
    <row r="110" spans="1:20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</row>
    <row r="111" spans="1:20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</row>
    <row r="112" spans="1:20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</row>
    <row r="113" spans="1:20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</row>
    <row r="114" spans="1:20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</row>
    <row r="115" spans="1:20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</row>
    <row r="116" spans="1:20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</row>
    <row r="117" spans="1:20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</row>
    <row r="118" spans="1:20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</row>
    <row r="119" spans="1:20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</row>
    <row r="120" spans="1:20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</row>
    <row r="121" spans="1:20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</row>
    <row r="122" spans="1:20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</row>
    <row r="123" spans="1:20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</row>
    <row r="124" spans="1:20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</row>
    <row r="125" spans="1:20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</row>
    <row r="126" spans="1:20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</row>
    <row r="127" spans="1:20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</row>
    <row r="128" spans="1:20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</row>
    <row r="129" spans="1:20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</row>
    <row r="130" spans="1:20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</row>
    <row r="131" spans="1:20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</row>
    <row r="132" spans="1:20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</row>
    <row r="133" spans="1:20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</row>
    <row r="134" spans="1:20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</row>
    <row r="135" spans="1:20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</row>
    <row r="136" spans="1:20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</row>
    <row r="137" spans="1:20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</row>
    <row r="138" spans="1:20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</row>
    <row r="139" spans="1:20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</row>
    <row r="140" spans="1:20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</row>
    <row r="141" spans="1:20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</row>
    <row r="142" spans="1:20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</row>
    <row r="143" spans="1:20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</row>
    <row r="144" spans="1:20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</row>
    <row r="145" spans="1:20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</row>
    <row r="146" spans="1:20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</row>
    <row r="147" spans="1:20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</row>
    <row r="148" spans="1:20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</row>
    <row r="149" spans="1:20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</row>
    <row r="150" spans="1:20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</row>
    <row r="151" spans="1:20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</row>
    <row r="152" spans="1:20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</row>
    <row r="153" spans="1:20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</row>
    <row r="154" spans="1:20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</row>
    <row r="155" spans="1:20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</row>
    <row r="156" spans="1:20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</row>
    <row r="157" spans="1:20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</row>
    <row r="158" spans="1:20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</row>
    <row r="159" spans="1:20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</row>
    <row r="160" spans="1:20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</row>
    <row r="161" spans="1:20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</row>
    <row r="162" spans="1:20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</row>
    <row r="163" spans="1:20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</row>
    <row r="164" spans="1:20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</row>
    <row r="165" spans="1:20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</row>
    <row r="166" spans="1:20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</row>
    <row r="167" spans="1:20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</row>
    <row r="168" spans="1:20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</row>
    <row r="169" spans="1:20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</row>
    <row r="170" spans="1:20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</row>
    <row r="171" spans="1:20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</row>
    <row r="172" spans="1:20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</row>
    <row r="173" spans="1:20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</row>
    <row r="174" spans="1:20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</row>
    <row r="175" spans="1:20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</row>
    <row r="176" spans="1:20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</row>
    <row r="177" spans="1:20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</row>
    <row r="178" spans="1:20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</row>
    <row r="179" spans="1:20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</row>
    <row r="180" spans="1:20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</row>
    <row r="181" spans="1:20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</row>
    <row r="182" spans="1:20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</row>
    <row r="183" spans="1:20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</row>
    <row r="184" spans="1:20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</row>
    <row r="185" spans="1:20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</row>
    <row r="186" spans="1:20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</row>
    <row r="187" spans="1:20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</row>
    <row r="188" spans="1:20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</row>
    <row r="189" spans="1:20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</row>
    <row r="190" spans="1:20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</row>
    <row r="191" spans="1:20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</row>
    <row r="192" spans="1:20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</row>
    <row r="193" spans="1:20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</row>
    <row r="194" spans="1:20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</row>
    <row r="195" spans="1:20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</row>
    <row r="196" spans="1:20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</row>
    <row r="197" spans="1:20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</row>
    <row r="198" spans="1:20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</row>
    <row r="199" spans="1:20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</row>
    <row r="200" spans="1:20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</row>
    <row r="201" spans="1:20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</row>
    <row r="202" spans="1:20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</row>
    <row r="203" spans="1:20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</row>
    <row r="204" spans="1:20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</row>
    <row r="205" spans="1:20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</row>
    <row r="206" spans="1:20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</row>
    <row r="207" spans="1:20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</row>
    <row r="208" spans="1:20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</row>
    <row r="209" spans="1:20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</row>
    <row r="210" spans="1:20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</row>
    <row r="211" spans="1:20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</row>
    <row r="212" spans="1:20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</row>
    <row r="213" spans="1:20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</row>
    <row r="214" spans="1:20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</row>
    <row r="215" spans="1:20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</row>
    <row r="216" spans="1:20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</row>
    <row r="217" spans="1:20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</row>
    <row r="218" spans="1:20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</row>
    <row r="219" spans="1:20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</row>
    <row r="220" spans="1:20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</row>
    <row r="221" spans="1:20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</row>
    <row r="222" spans="1:20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</row>
    <row r="223" spans="1:20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</row>
    <row r="224" spans="1:20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</row>
    <row r="225" spans="1:20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</row>
    <row r="226" spans="1:20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</row>
    <row r="227" spans="1:20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</row>
    <row r="228" spans="1:20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</row>
    <row r="229" spans="1:20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</row>
    <row r="230" spans="1:20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</row>
    <row r="231" spans="1:20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</row>
    <row r="232" spans="1:20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</row>
    <row r="233" spans="1:20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</row>
    <row r="234" spans="1:20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</row>
    <row r="235" spans="1:20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</row>
    <row r="236" spans="1:20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</row>
    <row r="237" spans="1:20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</row>
    <row r="238" spans="1:20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</row>
    <row r="239" spans="1:20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</row>
    <row r="240" spans="1:20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</row>
    <row r="241" spans="1:20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</row>
    <row r="242" spans="1:20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</row>
    <row r="243" spans="1:20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</row>
    <row r="244" spans="1:20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</row>
    <row r="245" spans="1:20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</row>
    <row r="246" spans="1:20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</row>
    <row r="247" spans="1:20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</row>
    <row r="248" spans="1:20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</row>
    <row r="249" spans="1:20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</row>
    <row r="250" spans="1:20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</row>
    <row r="251" spans="1:20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</row>
    <row r="252" spans="1:20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</row>
    <row r="253" spans="1:20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</row>
    <row r="254" spans="1:20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</row>
    <row r="255" spans="1:20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</row>
    <row r="256" spans="1:20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</row>
    <row r="257" spans="1:20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</row>
    <row r="258" spans="1:20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</row>
    <row r="259" spans="1:20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</row>
    <row r="260" spans="1:20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</row>
    <row r="261" spans="1:20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</row>
    <row r="262" spans="1:20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</row>
    <row r="263" spans="1:20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</row>
    <row r="264" spans="1:20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</row>
    <row r="265" spans="1:20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</row>
    <row r="266" spans="1:20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</row>
    <row r="267" spans="1:20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</row>
    <row r="268" spans="1:20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</row>
    <row r="269" spans="1:20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</row>
    <row r="270" spans="1:20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</row>
    <row r="271" spans="1:20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</row>
    <row r="272" spans="1:20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</row>
    <row r="273" spans="1:20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</row>
    <row r="274" spans="1:20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</row>
    <row r="275" spans="1:20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</row>
    <row r="276" spans="1:20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</row>
    <row r="277" spans="1:20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</row>
    <row r="278" spans="1:20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</row>
    <row r="279" spans="1:20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</row>
    <row r="280" spans="1:20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</row>
    <row r="281" spans="1:20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</row>
    <row r="282" spans="1:20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</row>
    <row r="283" spans="1:20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</row>
    <row r="284" spans="1:20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</row>
    <row r="285" spans="1:20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</row>
    <row r="286" spans="1:20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</row>
    <row r="287" spans="1:20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</row>
    <row r="288" spans="1:20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</row>
    <row r="289" spans="1:20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</row>
    <row r="290" spans="1:20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</row>
    <row r="291" spans="1:20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</row>
    <row r="292" spans="1:20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</row>
    <row r="293" spans="1:20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</row>
    <row r="294" spans="1:20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</row>
    <row r="295" spans="1:20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</row>
    <row r="296" spans="1:20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</row>
    <row r="297" spans="1:20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</row>
    <row r="298" spans="1:20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</row>
    <row r="299" spans="1:20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</row>
    <row r="300" spans="1:20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</row>
    <row r="301" spans="1:20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</row>
    <row r="302" spans="1:20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</row>
    <row r="303" spans="1:20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</row>
    <row r="304" spans="1:20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</row>
    <row r="305" spans="1:20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</row>
    <row r="306" spans="1:20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</row>
    <row r="307" spans="1:20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</row>
    <row r="308" spans="1:20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</row>
    <row r="309" spans="1:20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</row>
    <row r="310" spans="1:20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</row>
    <row r="311" spans="1:20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</row>
    <row r="312" spans="1:20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</row>
    <row r="313" spans="1:20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</row>
    <row r="314" spans="1:20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</row>
    <row r="315" spans="1:20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</row>
    <row r="316" spans="1:20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</row>
    <row r="317" spans="1:20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</row>
    <row r="318" spans="1:20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</row>
    <row r="319" spans="1:20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</row>
    <row r="320" spans="1:20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</row>
    <row r="321" spans="1:20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</row>
    <row r="322" spans="1:20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</row>
    <row r="323" spans="1:20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</row>
    <row r="324" spans="1:20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</row>
    <row r="325" spans="1:20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</row>
    <row r="326" spans="1:20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</row>
    <row r="327" spans="1:20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</row>
    <row r="328" spans="1:20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</row>
    <row r="329" spans="1:20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</row>
    <row r="330" spans="1:20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</row>
    <row r="331" spans="1:20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</row>
    <row r="332" spans="1:20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</row>
    <row r="333" spans="1:20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</row>
    <row r="334" spans="1:20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</row>
    <row r="335" spans="1:20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</row>
    <row r="336" spans="1:20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</row>
    <row r="337" spans="1:20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</row>
    <row r="338" spans="1:20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</row>
    <row r="339" spans="1:20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</row>
    <row r="340" spans="1:20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</row>
    <row r="341" spans="1:20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</row>
    <row r="342" spans="1:20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</row>
    <row r="343" spans="1:20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</row>
    <row r="344" spans="1:20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</row>
    <row r="345" spans="1:20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</row>
    <row r="346" spans="1:20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</row>
    <row r="347" spans="1:20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</row>
    <row r="348" spans="1:20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</row>
    <row r="349" spans="1:20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</row>
    <row r="350" spans="1:20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</row>
    <row r="351" spans="1:20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</row>
    <row r="352" spans="1:20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</row>
    <row r="353" spans="1:20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</row>
    <row r="354" spans="1:20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</row>
    <row r="355" spans="1:20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</row>
    <row r="356" spans="1:20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</row>
    <row r="357" spans="1:20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</row>
    <row r="358" spans="1:20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</row>
    <row r="359" spans="1:20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</row>
    <row r="360" spans="1:20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</row>
    <row r="361" spans="1:20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</row>
    <row r="362" spans="1:20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</row>
    <row r="363" spans="1:20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</row>
    <row r="364" spans="1:20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</row>
    <row r="365" spans="1:20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</row>
    <row r="366" spans="1:20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</row>
    <row r="367" spans="1:20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</row>
    <row r="368" spans="1:20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</row>
    <row r="369" spans="1:20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</row>
    <row r="370" spans="1:20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</row>
    <row r="371" spans="1:20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</row>
    <row r="372" spans="1:20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</row>
    <row r="373" spans="1:20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</row>
    <row r="374" spans="1:20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</row>
    <row r="375" spans="1:20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</row>
    <row r="376" spans="1:20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</row>
    <row r="377" spans="1:20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</row>
    <row r="378" spans="1:20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</row>
    <row r="379" spans="1:20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</row>
    <row r="380" spans="1:20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</row>
    <row r="381" spans="1:20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</row>
    <row r="382" spans="1:20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</row>
    <row r="383" spans="1:20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</row>
    <row r="384" spans="1:20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</row>
    <row r="385" spans="1:20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</row>
    <row r="386" spans="1:20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</row>
    <row r="387" spans="1:20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</row>
    <row r="388" spans="1:20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</row>
    <row r="389" spans="1:20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</row>
    <row r="390" spans="1:20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</row>
    <row r="391" spans="1:20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</row>
    <row r="392" spans="1:20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</row>
    <row r="393" spans="1:20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</row>
    <row r="394" spans="1:20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</row>
    <row r="395" spans="1:20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</row>
    <row r="396" spans="1:20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</row>
    <row r="397" spans="1:20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</row>
    <row r="398" spans="1:20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</row>
    <row r="399" spans="1:20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</row>
    <row r="400" spans="1:20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</row>
    <row r="401" spans="1:20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</row>
    <row r="402" spans="1:20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</row>
    <row r="403" spans="1:20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</row>
    <row r="404" spans="1:20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</row>
    <row r="405" spans="1:20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</row>
    <row r="406" spans="1:20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</row>
    <row r="407" spans="1:20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</row>
    <row r="408" spans="1:20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</row>
    <row r="409" spans="1:20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</row>
    <row r="410" spans="1:20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</row>
    <row r="411" spans="1:20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</row>
    <row r="412" spans="1:20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</row>
    <row r="413" spans="1:20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</row>
    <row r="414" spans="1:20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</row>
    <row r="415" spans="1:20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</row>
    <row r="416" spans="1:20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</row>
    <row r="417" spans="1:20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</row>
    <row r="418" spans="1:20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</row>
    <row r="419" spans="1:20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</row>
    <row r="420" spans="1:20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</row>
    <row r="421" spans="1:20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</row>
    <row r="422" spans="1:20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</row>
    <row r="423" spans="1:20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</row>
    <row r="424" spans="1:20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</row>
    <row r="425" spans="1:20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</row>
    <row r="426" spans="1:20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</row>
    <row r="427" spans="1:20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</row>
    <row r="428" spans="1:20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</row>
    <row r="429" spans="1:20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</row>
    <row r="430" spans="1:20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</row>
    <row r="431" spans="1:20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</row>
    <row r="432" spans="1:20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</row>
    <row r="433" spans="1:20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</row>
    <row r="434" spans="1:20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</row>
    <row r="435" spans="1:20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</row>
    <row r="436" spans="1:20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</row>
    <row r="437" spans="1:20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</row>
    <row r="438" spans="1:20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</row>
    <row r="439" spans="1:20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</row>
    <row r="440" spans="1:20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</row>
    <row r="441" spans="1:20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</row>
    <row r="442" spans="1:20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</row>
    <row r="443" spans="1:20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</row>
    <row r="444" spans="1:20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</row>
    <row r="445" spans="1:20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</row>
    <row r="446" spans="1:20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</row>
    <row r="447" spans="1:20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</row>
    <row r="448" spans="1:20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</row>
    <row r="449" spans="1:20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</row>
    <row r="450" spans="1:20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</row>
    <row r="451" spans="1:20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</row>
    <row r="452" spans="1:20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</row>
    <row r="453" spans="1:20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</row>
    <row r="454" spans="1:20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</row>
    <row r="455" spans="1:20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</row>
    <row r="456" spans="1:20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</row>
    <row r="457" spans="1:20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</row>
    <row r="458" spans="1:20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</row>
    <row r="459" spans="1:20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</row>
    <row r="460" spans="1:20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</row>
    <row r="461" spans="1:20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</row>
    <row r="462" spans="1:20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</row>
    <row r="463" spans="1:20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</row>
    <row r="464" spans="1:20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</row>
    <row r="465" spans="1:20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</row>
    <row r="466" spans="1:20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</row>
    <row r="467" spans="1:20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</row>
    <row r="468" spans="1:20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</row>
    <row r="469" spans="1:20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</row>
    <row r="470" spans="1:20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</row>
    <row r="471" spans="1:20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</row>
    <row r="472" spans="1:20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</row>
    <row r="473" spans="1:20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</row>
    <row r="474" spans="1:20" x14ac:dyDescent="0.25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</row>
    <row r="475" spans="1:20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</row>
    <row r="476" spans="1:20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</row>
    <row r="477" spans="1:20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</row>
    <row r="478" spans="1:20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</row>
    <row r="479" spans="1:20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</row>
    <row r="480" spans="1:20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</row>
    <row r="481" spans="1:20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</row>
    <row r="482" spans="1:20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</row>
    <row r="483" spans="1:20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</row>
    <row r="484" spans="1:20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</row>
    <row r="485" spans="1:20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</row>
    <row r="486" spans="1:20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</row>
    <row r="487" spans="1:20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</row>
    <row r="488" spans="1:20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</row>
    <row r="489" spans="1:20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</row>
    <row r="490" spans="1:20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</row>
    <row r="491" spans="1:20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</row>
    <row r="492" spans="1:20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</row>
    <row r="493" spans="1:20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</row>
    <row r="494" spans="1:20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</row>
    <row r="495" spans="1:20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</row>
    <row r="496" spans="1:20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</row>
    <row r="497" spans="1:20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</row>
    <row r="498" spans="1:20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</row>
    <row r="499" spans="1:20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</row>
    <row r="500" spans="1:20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</row>
    <row r="501" spans="1:20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</row>
    <row r="502" spans="1:20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</row>
    <row r="503" spans="1:20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</row>
    <row r="504" spans="1:20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</row>
    <row r="505" spans="1:20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</row>
    <row r="506" spans="1:20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</row>
    <row r="507" spans="1:20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</row>
    <row r="508" spans="1:20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</row>
    <row r="509" spans="1:20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</row>
    <row r="510" spans="1:20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</row>
    <row r="511" spans="1:20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</row>
    <row r="512" spans="1:20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</row>
    <row r="513" spans="1:20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</row>
    <row r="514" spans="1:20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</row>
    <row r="515" spans="1:20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</row>
    <row r="516" spans="1:20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</row>
    <row r="517" spans="1:20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</row>
    <row r="518" spans="1:20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</row>
    <row r="519" spans="1:20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</row>
    <row r="520" spans="1:20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</row>
    <row r="521" spans="1:20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</row>
    <row r="522" spans="1:20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</row>
    <row r="523" spans="1:20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</row>
    <row r="524" spans="1:20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</row>
    <row r="525" spans="1:20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</row>
    <row r="526" spans="1:20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</row>
    <row r="527" spans="1:20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</row>
    <row r="528" spans="1:20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</row>
    <row r="529" spans="1:20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</row>
    <row r="530" spans="1:20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</row>
    <row r="531" spans="1:20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</row>
    <row r="532" spans="1:20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</row>
    <row r="533" spans="1:20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</row>
    <row r="534" spans="1:20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</row>
    <row r="535" spans="1:20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</row>
    <row r="536" spans="1:20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</row>
    <row r="537" spans="1:20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</row>
    <row r="538" spans="1:20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</row>
    <row r="539" spans="1:20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</row>
    <row r="540" spans="1:20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</row>
    <row r="541" spans="1:20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</row>
    <row r="542" spans="1:20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</row>
    <row r="543" spans="1:20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</row>
    <row r="544" spans="1:20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</row>
    <row r="545" spans="1:20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</row>
    <row r="546" spans="1:20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</row>
    <row r="547" spans="1:20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</row>
    <row r="548" spans="1:20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</row>
    <row r="549" spans="1:20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</row>
    <row r="550" spans="1:20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</row>
    <row r="551" spans="1:20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</row>
    <row r="552" spans="1:20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</row>
    <row r="553" spans="1:20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</row>
    <row r="554" spans="1:20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</row>
    <row r="555" spans="1:20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</row>
    <row r="556" spans="1:20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</row>
    <row r="557" spans="1:20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</row>
    <row r="558" spans="1:20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</row>
    <row r="559" spans="1:20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</row>
    <row r="560" spans="1:20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</row>
    <row r="561" spans="1:20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</row>
    <row r="562" spans="1:20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</row>
    <row r="563" spans="1:20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</row>
    <row r="564" spans="1:20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</row>
    <row r="565" spans="1:20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</row>
    <row r="566" spans="1:20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</row>
    <row r="567" spans="1:20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</row>
    <row r="568" spans="1:20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</row>
    <row r="569" spans="1:20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</row>
    <row r="570" spans="1:20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</row>
    <row r="571" spans="1:20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</row>
    <row r="572" spans="1:20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</row>
    <row r="573" spans="1:20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</row>
    <row r="574" spans="1:20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</row>
    <row r="575" spans="1:20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</row>
    <row r="576" spans="1:20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</row>
    <row r="577" spans="1:20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</row>
    <row r="578" spans="1:20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</row>
    <row r="579" spans="1:20" x14ac:dyDescent="0.2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</row>
    <row r="580" spans="1:20" x14ac:dyDescent="0.2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</row>
    <row r="581" spans="1:20" x14ac:dyDescent="0.2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</row>
    <row r="582" spans="1:20" x14ac:dyDescent="0.2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</row>
    <row r="583" spans="1:20" x14ac:dyDescent="0.2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</row>
    <row r="584" spans="1:20" x14ac:dyDescent="0.2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</row>
    <row r="585" spans="1:20" x14ac:dyDescent="0.2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</row>
    <row r="586" spans="1:20" x14ac:dyDescent="0.2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</row>
    <row r="587" spans="1:20" x14ac:dyDescent="0.2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</row>
    <row r="588" spans="1:20" x14ac:dyDescent="0.2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</row>
    <row r="589" spans="1:20" x14ac:dyDescent="0.2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</row>
    <row r="590" spans="1:20" x14ac:dyDescent="0.2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</row>
    <row r="591" spans="1:20" x14ac:dyDescent="0.2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</row>
    <row r="592" spans="1:20" x14ac:dyDescent="0.2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</row>
    <row r="593" spans="1:20" x14ac:dyDescent="0.2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</row>
    <row r="594" spans="1:20" x14ac:dyDescent="0.2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</row>
    <row r="595" spans="1:20" x14ac:dyDescent="0.2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</row>
    <row r="596" spans="1:20" x14ac:dyDescent="0.2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</row>
    <row r="597" spans="1:20" x14ac:dyDescent="0.2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</row>
    <row r="598" spans="1:20" x14ac:dyDescent="0.2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</row>
    <row r="599" spans="1:20" x14ac:dyDescent="0.2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</row>
    <row r="600" spans="1:20" x14ac:dyDescent="0.2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</row>
    <row r="601" spans="1:20" x14ac:dyDescent="0.2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</row>
    <row r="602" spans="1:20" x14ac:dyDescent="0.2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</row>
    <row r="603" spans="1:20" x14ac:dyDescent="0.2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</row>
    <row r="604" spans="1:20" x14ac:dyDescent="0.2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</row>
    <row r="605" spans="1:20" x14ac:dyDescent="0.2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</row>
    <row r="606" spans="1:20" x14ac:dyDescent="0.2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</row>
    <row r="607" spans="1:20" x14ac:dyDescent="0.2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</row>
    <row r="608" spans="1:20" x14ac:dyDescent="0.2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</row>
    <row r="609" spans="1:20" x14ac:dyDescent="0.2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</row>
    <row r="610" spans="1:20" x14ac:dyDescent="0.2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</row>
    <row r="611" spans="1:20" x14ac:dyDescent="0.2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</row>
    <row r="612" spans="1:20" x14ac:dyDescent="0.2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</row>
    <row r="613" spans="1:20" x14ac:dyDescent="0.2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</row>
    <row r="614" spans="1:20" x14ac:dyDescent="0.2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</row>
    <row r="615" spans="1:20" x14ac:dyDescent="0.2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</row>
    <row r="616" spans="1:20" x14ac:dyDescent="0.2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</row>
    <row r="617" spans="1:20" x14ac:dyDescent="0.2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</row>
    <row r="618" spans="1:20" x14ac:dyDescent="0.2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</row>
    <row r="619" spans="1:20" x14ac:dyDescent="0.2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</row>
    <row r="620" spans="1:20" x14ac:dyDescent="0.2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</row>
    <row r="621" spans="1:20" x14ac:dyDescent="0.2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</row>
    <row r="622" spans="1:20" x14ac:dyDescent="0.2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</row>
    <row r="623" spans="1:20" x14ac:dyDescent="0.2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</row>
    <row r="624" spans="1:20" x14ac:dyDescent="0.2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</row>
    <row r="625" spans="1:20" x14ac:dyDescent="0.2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</row>
    <row r="626" spans="1:20" x14ac:dyDescent="0.2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</row>
    <row r="627" spans="1:20" x14ac:dyDescent="0.2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</row>
    <row r="628" spans="1:20" x14ac:dyDescent="0.2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</row>
    <row r="629" spans="1:20" x14ac:dyDescent="0.2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</row>
    <row r="630" spans="1:20" x14ac:dyDescent="0.2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</row>
    <row r="631" spans="1:20" x14ac:dyDescent="0.2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</row>
    <row r="632" spans="1:20" x14ac:dyDescent="0.2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</row>
    <row r="633" spans="1:20" x14ac:dyDescent="0.2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</row>
    <row r="634" spans="1:20" x14ac:dyDescent="0.2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</row>
    <row r="635" spans="1:20" x14ac:dyDescent="0.2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</row>
    <row r="636" spans="1:20" x14ac:dyDescent="0.25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</row>
    <row r="637" spans="1:20" x14ac:dyDescent="0.2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</row>
    <row r="638" spans="1:20" x14ac:dyDescent="0.2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</row>
    <row r="639" spans="1:20" x14ac:dyDescent="0.2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</row>
    <row r="640" spans="1:20" x14ac:dyDescent="0.25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</row>
    <row r="641" spans="1:20" x14ac:dyDescent="0.2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</row>
    <row r="642" spans="1:20" x14ac:dyDescent="0.2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</row>
    <row r="643" spans="1:20" x14ac:dyDescent="0.2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</row>
    <row r="644" spans="1:20" x14ac:dyDescent="0.2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</row>
    <row r="645" spans="1:20" x14ac:dyDescent="0.2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</row>
    <row r="646" spans="1:20" x14ac:dyDescent="0.2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</row>
    <row r="647" spans="1:20" x14ac:dyDescent="0.2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</row>
    <row r="648" spans="1:20" x14ac:dyDescent="0.2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</row>
    <row r="649" spans="1:20" x14ac:dyDescent="0.2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</row>
    <row r="650" spans="1:20" x14ac:dyDescent="0.2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</row>
    <row r="651" spans="1:20" x14ac:dyDescent="0.2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</row>
    <row r="652" spans="1:20" x14ac:dyDescent="0.2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</row>
    <row r="653" spans="1:20" x14ac:dyDescent="0.2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</row>
    <row r="654" spans="1:20" x14ac:dyDescent="0.2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</row>
    <row r="655" spans="1:20" x14ac:dyDescent="0.2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</row>
    <row r="656" spans="1:20" x14ac:dyDescent="0.2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</row>
    <row r="657" spans="1:20" x14ac:dyDescent="0.2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</row>
    <row r="658" spans="1:20" x14ac:dyDescent="0.2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</row>
    <row r="659" spans="1:20" x14ac:dyDescent="0.2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</row>
    <row r="660" spans="1:20" x14ac:dyDescent="0.2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</row>
    <row r="661" spans="1:20" x14ac:dyDescent="0.2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</row>
    <row r="662" spans="1:20" x14ac:dyDescent="0.2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</row>
    <row r="663" spans="1:20" x14ac:dyDescent="0.2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</row>
    <row r="664" spans="1:20" x14ac:dyDescent="0.2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</row>
    <row r="665" spans="1:20" x14ac:dyDescent="0.2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</row>
    <row r="666" spans="1:20" x14ac:dyDescent="0.2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</row>
    <row r="667" spans="1:20" x14ac:dyDescent="0.2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</row>
    <row r="668" spans="1:20" x14ac:dyDescent="0.2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</row>
    <row r="669" spans="1:20" x14ac:dyDescent="0.2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</row>
    <row r="670" spans="1:20" x14ac:dyDescent="0.2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</row>
    <row r="671" spans="1:20" x14ac:dyDescent="0.2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</row>
    <row r="672" spans="1:20" x14ac:dyDescent="0.2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</row>
    <row r="673" spans="1:20" x14ac:dyDescent="0.2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</row>
    <row r="674" spans="1:20" x14ac:dyDescent="0.2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</row>
    <row r="675" spans="1:20" x14ac:dyDescent="0.2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</row>
    <row r="676" spans="1:20" x14ac:dyDescent="0.2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</row>
    <row r="677" spans="1:20" x14ac:dyDescent="0.2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</row>
    <row r="678" spans="1:20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</row>
    <row r="679" spans="1:20" x14ac:dyDescent="0.2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</row>
    <row r="680" spans="1:20" x14ac:dyDescent="0.2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</row>
    <row r="681" spans="1:20" x14ac:dyDescent="0.2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</row>
    <row r="682" spans="1:20" x14ac:dyDescent="0.2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</row>
    <row r="683" spans="1:20" x14ac:dyDescent="0.2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</row>
    <row r="684" spans="1:20" x14ac:dyDescent="0.2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</row>
    <row r="685" spans="1:20" x14ac:dyDescent="0.2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</row>
    <row r="686" spans="1:20" x14ac:dyDescent="0.2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</row>
    <row r="687" spans="1:20" x14ac:dyDescent="0.2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</row>
    <row r="688" spans="1:20" x14ac:dyDescent="0.2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</row>
    <row r="689" spans="1:20" x14ac:dyDescent="0.2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</row>
    <row r="690" spans="1:20" x14ac:dyDescent="0.2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</row>
    <row r="691" spans="1:20" x14ac:dyDescent="0.2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</row>
    <row r="692" spans="1:20" x14ac:dyDescent="0.2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</row>
    <row r="693" spans="1:20" x14ac:dyDescent="0.2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</row>
    <row r="694" spans="1:20" x14ac:dyDescent="0.2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</row>
    <row r="695" spans="1:20" x14ac:dyDescent="0.2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</row>
    <row r="696" spans="1:20" x14ac:dyDescent="0.2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</row>
    <row r="697" spans="1:20" x14ac:dyDescent="0.2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</row>
    <row r="698" spans="1:20" x14ac:dyDescent="0.2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</row>
    <row r="699" spans="1:20" x14ac:dyDescent="0.2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</row>
    <row r="700" spans="1:20" x14ac:dyDescent="0.2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</row>
    <row r="701" spans="1:20" x14ac:dyDescent="0.2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</row>
    <row r="702" spans="1:20" x14ac:dyDescent="0.2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</row>
    <row r="703" spans="1:20" x14ac:dyDescent="0.2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</row>
    <row r="704" spans="1:20" x14ac:dyDescent="0.2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</row>
    <row r="705" spans="1:20" x14ac:dyDescent="0.2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</row>
    <row r="706" spans="1:20" x14ac:dyDescent="0.2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</row>
    <row r="707" spans="1:20" x14ac:dyDescent="0.2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</row>
    <row r="708" spans="1:20" x14ac:dyDescent="0.2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</row>
    <row r="709" spans="1:20" x14ac:dyDescent="0.2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</row>
    <row r="710" spans="1:20" x14ac:dyDescent="0.2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</row>
    <row r="711" spans="1:20" x14ac:dyDescent="0.2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</row>
    <row r="712" spans="1:20" x14ac:dyDescent="0.2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</row>
    <row r="713" spans="1:20" x14ac:dyDescent="0.2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</row>
    <row r="714" spans="1:20" x14ac:dyDescent="0.2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</row>
    <row r="715" spans="1:20" x14ac:dyDescent="0.2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</row>
    <row r="716" spans="1:20" x14ac:dyDescent="0.2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</row>
    <row r="717" spans="1:20" x14ac:dyDescent="0.2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</row>
    <row r="718" spans="1:20" x14ac:dyDescent="0.2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</row>
    <row r="719" spans="1:20" x14ac:dyDescent="0.2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</row>
    <row r="720" spans="1:20" x14ac:dyDescent="0.2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</row>
    <row r="721" spans="1:20" x14ac:dyDescent="0.2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</row>
    <row r="722" spans="1:20" x14ac:dyDescent="0.2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</row>
    <row r="723" spans="1:20" x14ac:dyDescent="0.2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</row>
    <row r="724" spans="1:20" x14ac:dyDescent="0.2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</row>
    <row r="725" spans="1:20" x14ac:dyDescent="0.2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</row>
    <row r="726" spans="1:20" x14ac:dyDescent="0.2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</row>
    <row r="727" spans="1:20" x14ac:dyDescent="0.2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</row>
    <row r="728" spans="1:20" x14ac:dyDescent="0.2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</row>
    <row r="729" spans="1:20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</row>
    <row r="730" spans="1:20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</row>
    <row r="731" spans="1:20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</row>
    <row r="732" spans="1:20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</row>
    <row r="733" spans="1:20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</row>
    <row r="734" spans="1:20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</row>
    <row r="735" spans="1:20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</row>
    <row r="736" spans="1:20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</row>
    <row r="737" spans="1:20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</row>
    <row r="738" spans="1:20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</row>
    <row r="739" spans="1:20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</row>
    <row r="740" spans="1:20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</row>
    <row r="741" spans="1:20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</row>
    <row r="742" spans="1:20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</row>
    <row r="743" spans="1:20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</row>
    <row r="744" spans="1:20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</row>
    <row r="745" spans="1:20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</row>
    <row r="746" spans="1:20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</row>
    <row r="747" spans="1:20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</row>
    <row r="748" spans="1:20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</row>
    <row r="749" spans="1:20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</row>
    <row r="750" spans="1:20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</row>
    <row r="751" spans="1:20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</row>
    <row r="752" spans="1:20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</row>
    <row r="753" spans="1:20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</row>
    <row r="754" spans="1:20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</row>
    <row r="755" spans="1:20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</row>
    <row r="756" spans="1:20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</row>
    <row r="757" spans="1:20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</row>
    <row r="758" spans="1:20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</row>
    <row r="759" spans="1:20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</row>
    <row r="760" spans="1:20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</row>
    <row r="761" spans="1:20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</row>
    <row r="762" spans="1:20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</row>
    <row r="763" spans="1:20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</row>
    <row r="764" spans="1:20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</row>
    <row r="765" spans="1:20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</row>
    <row r="766" spans="1:20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</row>
    <row r="767" spans="1:20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</row>
    <row r="768" spans="1:20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</row>
    <row r="769" spans="1:20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</row>
    <row r="770" spans="1:20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</row>
    <row r="771" spans="1:20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</row>
    <row r="772" spans="1:20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</row>
    <row r="773" spans="1:20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</row>
    <row r="774" spans="1:20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</row>
    <row r="775" spans="1:20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</row>
    <row r="776" spans="1:20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</row>
    <row r="777" spans="1:20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</row>
    <row r="778" spans="1:20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</row>
    <row r="779" spans="1:20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</row>
    <row r="780" spans="1:20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</row>
    <row r="781" spans="1:20" x14ac:dyDescent="0.2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</row>
    <row r="782" spans="1:20" x14ac:dyDescent="0.2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</row>
    <row r="783" spans="1:20" x14ac:dyDescent="0.2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</row>
    <row r="784" spans="1:20" x14ac:dyDescent="0.2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</row>
    <row r="785" spans="1:20" x14ac:dyDescent="0.2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</row>
    <row r="786" spans="1:20" x14ac:dyDescent="0.2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</row>
    <row r="787" spans="1:20" x14ac:dyDescent="0.2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</row>
    <row r="788" spans="1:20" x14ac:dyDescent="0.2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</row>
    <row r="789" spans="1:20" x14ac:dyDescent="0.2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</row>
    <row r="790" spans="1:20" x14ac:dyDescent="0.2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</row>
    <row r="791" spans="1:20" x14ac:dyDescent="0.2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</row>
    <row r="792" spans="1:20" x14ac:dyDescent="0.2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</row>
    <row r="793" spans="1:20" x14ac:dyDescent="0.2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</row>
    <row r="794" spans="1:20" x14ac:dyDescent="0.2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</row>
    <row r="795" spans="1:20" x14ac:dyDescent="0.2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</row>
    <row r="796" spans="1:20" x14ac:dyDescent="0.2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</row>
    <row r="797" spans="1:20" x14ac:dyDescent="0.2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</row>
    <row r="798" spans="1:20" x14ac:dyDescent="0.2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</row>
    <row r="799" spans="1:20" x14ac:dyDescent="0.2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</row>
    <row r="800" spans="1:20" x14ac:dyDescent="0.2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</row>
    <row r="801" spans="1:20" x14ac:dyDescent="0.2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</row>
    <row r="802" spans="1:20" x14ac:dyDescent="0.2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</row>
    <row r="803" spans="1:20" x14ac:dyDescent="0.2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</row>
    <row r="804" spans="1:20" x14ac:dyDescent="0.2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</row>
    <row r="805" spans="1:20" x14ac:dyDescent="0.2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</row>
    <row r="806" spans="1:20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</row>
    <row r="807" spans="1:20" x14ac:dyDescent="0.2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</row>
    <row r="808" spans="1:20" x14ac:dyDescent="0.2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</row>
    <row r="809" spans="1:20" x14ac:dyDescent="0.2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</row>
    <row r="810" spans="1:20" x14ac:dyDescent="0.2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</row>
    <row r="811" spans="1:20" x14ac:dyDescent="0.2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</row>
    <row r="812" spans="1:20" x14ac:dyDescent="0.2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</row>
    <row r="813" spans="1:20" x14ac:dyDescent="0.2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</row>
    <row r="814" spans="1:20" x14ac:dyDescent="0.2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</row>
    <row r="815" spans="1:20" x14ac:dyDescent="0.2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</row>
    <row r="816" spans="1:20" x14ac:dyDescent="0.2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</row>
    <row r="817" spans="1:20" x14ac:dyDescent="0.2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</row>
    <row r="818" spans="1:20" x14ac:dyDescent="0.2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</row>
    <row r="819" spans="1:20" x14ac:dyDescent="0.2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</row>
    <row r="820" spans="1:20" x14ac:dyDescent="0.2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</row>
    <row r="821" spans="1:20" x14ac:dyDescent="0.2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</row>
    <row r="822" spans="1:20" x14ac:dyDescent="0.2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</row>
    <row r="823" spans="1:20" x14ac:dyDescent="0.2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</row>
    <row r="824" spans="1:20" x14ac:dyDescent="0.2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</row>
    <row r="825" spans="1:20" x14ac:dyDescent="0.2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</row>
    <row r="826" spans="1:20" x14ac:dyDescent="0.2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</row>
    <row r="827" spans="1:20" x14ac:dyDescent="0.2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</row>
    <row r="828" spans="1:20" x14ac:dyDescent="0.2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</row>
    <row r="829" spans="1:20" x14ac:dyDescent="0.2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</row>
    <row r="830" spans="1:20" x14ac:dyDescent="0.2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</row>
    <row r="831" spans="1:20" x14ac:dyDescent="0.2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</row>
    <row r="832" spans="1:20" x14ac:dyDescent="0.2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</row>
    <row r="833" spans="1:20" x14ac:dyDescent="0.2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</row>
    <row r="834" spans="1:20" x14ac:dyDescent="0.2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</row>
    <row r="835" spans="1:20" x14ac:dyDescent="0.2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</row>
    <row r="836" spans="1:20" x14ac:dyDescent="0.2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</row>
    <row r="837" spans="1:20" x14ac:dyDescent="0.2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</row>
    <row r="838" spans="1:20" x14ac:dyDescent="0.2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</row>
    <row r="839" spans="1:20" x14ac:dyDescent="0.2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</row>
    <row r="840" spans="1:20" x14ac:dyDescent="0.2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</row>
    <row r="841" spans="1:20" x14ac:dyDescent="0.2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</row>
    <row r="842" spans="1:20" x14ac:dyDescent="0.2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</row>
    <row r="843" spans="1:20" x14ac:dyDescent="0.2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</row>
    <row r="844" spans="1:20" x14ac:dyDescent="0.2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</row>
    <row r="845" spans="1:20" x14ac:dyDescent="0.2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</row>
    <row r="846" spans="1:20" x14ac:dyDescent="0.2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</row>
    <row r="847" spans="1:20" x14ac:dyDescent="0.2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</row>
    <row r="848" spans="1:20" x14ac:dyDescent="0.2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</row>
    <row r="849" spans="1:20" x14ac:dyDescent="0.2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</row>
    <row r="850" spans="1:20" x14ac:dyDescent="0.2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</row>
    <row r="851" spans="1:20" x14ac:dyDescent="0.2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</row>
    <row r="852" spans="1:20" x14ac:dyDescent="0.2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</row>
    <row r="853" spans="1:20" x14ac:dyDescent="0.2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</row>
    <row r="854" spans="1:20" x14ac:dyDescent="0.2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</row>
    <row r="855" spans="1:20" x14ac:dyDescent="0.2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</row>
    <row r="856" spans="1:20" x14ac:dyDescent="0.2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</row>
    <row r="857" spans="1:20" x14ac:dyDescent="0.2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</row>
    <row r="858" spans="1:20" x14ac:dyDescent="0.2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</row>
    <row r="859" spans="1:20" x14ac:dyDescent="0.2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</row>
    <row r="860" spans="1:20" x14ac:dyDescent="0.2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</row>
    <row r="861" spans="1:20" x14ac:dyDescent="0.2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</row>
    <row r="862" spans="1:20" x14ac:dyDescent="0.2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</row>
    <row r="863" spans="1:20" x14ac:dyDescent="0.2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</row>
    <row r="864" spans="1:20" x14ac:dyDescent="0.2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</row>
    <row r="865" spans="1:20" x14ac:dyDescent="0.2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</row>
    <row r="866" spans="1:20" x14ac:dyDescent="0.2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</row>
    <row r="867" spans="1:20" x14ac:dyDescent="0.2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</row>
    <row r="868" spans="1:20" x14ac:dyDescent="0.2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</row>
    <row r="869" spans="1:20" x14ac:dyDescent="0.2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</row>
    <row r="870" spans="1:20" x14ac:dyDescent="0.2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</row>
    <row r="871" spans="1:20" x14ac:dyDescent="0.2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</row>
    <row r="872" spans="1:20" x14ac:dyDescent="0.2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</row>
    <row r="873" spans="1:20" x14ac:dyDescent="0.2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</row>
    <row r="874" spans="1:20" x14ac:dyDescent="0.2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</row>
    <row r="875" spans="1:20" x14ac:dyDescent="0.2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</row>
    <row r="876" spans="1:20" x14ac:dyDescent="0.2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</row>
    <row r="877" spans="1:20" x14ac:dyDescent="0.2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</row>
    <row r="878" spans="1:20" x14ac:dyDescent="0.2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</row>
    <row r="879" spans="1:20" x14ac:dyDescent="0.2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</row>
    <row r="880" spans="1:20" x14ac:dyDescent="0.2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</row>
    <row r="881" spans="1:20" x14ac:dyDescent="0.2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</row>
    <row r="882" spans="1:20" x14ac:dyDescent="0.2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</row>
    <row r="883" spans="1:20" x14ac:dyDescent="0.2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</row>
    <row r="884" spans="1:20" x14ac:dyDescent="0.2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</row>
    <row r="885" spans="1:20" x14ac:dyDescent="0.2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</row>
    <row r="886" spans="1:20" x14ac:dyDescent="0.2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</row>
    <row r="887" spans="1:20" x14ac:dyDescent="0.2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</row>
    <row r="888" spans="1:20" x14ac:dyDescent="0.2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</row>
    <row r="889" spans="1:20" x14ac:dyDescent="0.2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</row>
    <row r="890" spans="1:20" x14ac:dyDescent="0.2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</row>
    <row r="891" spans="1:20" x14ac:dyDescent="0.2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</row>
    <row r="892" spans="1:20" x14ac:dyDescent="0.2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</row>
    <row r="893" spans="1:20" x14ac:dyDescent="0.2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</row>
    <row r="894" spans="1:20" x14ac:dyDescent="0.2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</row>
    <row r="895" spans="1:20" x14ac:dyDescent="0.2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</row>
    <row r="896" spans="1:20" x14ac:dyDescent="0.2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</row>
    <row r="897" spans="1:20" x14ac:dyDescent="0.2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</row>
    <row r="898" spans="1:20" x14ac:dyDescent="0.2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</row>
    <row r="899" spans="1:20" x14ac:dyDescent="0.2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</row>
    <row r="900" spans="1:20" x14ac:dyDescent="0.2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</row>
    <row r="901" spans="1:20" x14ac:dyDescent="0.2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</row>
    <row r="902" spans="1:20" x14ac:dyDescent="0.2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</row>
    <row r="903" spans="1:20" x14ac:dyDescent="0.2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</row>
    <row r="904" spans="1:20" x14ac:dyDescent="0.2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</row>
    <row r="905" spans="1:20" x14ac:dyDescent="0.2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</row>
    <row r="906" spans="1:20" x14ac:dyDescent="0.2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</row>
    <row r="907" spans="1:20" x14ac:dyDescent="0.2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</row>
    <row r="908" spans="1:20" x14ac:dyDescent="0.2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</row>
    <row r="909" spans="1:20" x14ac:dyDescent="0.2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</row>
    <row r="910" spans="1:20" x14ac:dyDescent="0.2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</row>
    <row r="911" spans="1:20" x14ac:dyDescent="0.2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</row>
    <row r="912" spans="1:20" x14ac:dyDescent="0.2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</row>
    <row r="913" spans="1:20" x14ac:dyDescent="0.2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</row>
    <row r="914" spans="1:20" x14ac:dyDescent="0.2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</row>
    <row r="915" spans="1:20" x14ac:dyDescent="0.2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</row>
    <row r="916" spans="1:20" x14ac:dyDescent="0.2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</row>
    <row r="917" spans="1:20" x14ac:dyDescent="0.2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</row>
    <row r="918" spans="1:20" x14ac:dyDescent="0.2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</row>
    <row r="919" spans="1:20" x14ac:dyDescent="0.2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</row>
    <row r="920" spans="1:20" x14ac:dyDescent="0.2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</row>
    <row r="921" spans="1:20" x14ac:dyDescent="0.2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</row>
    <row r="922" spans="1:20" x14ac:dyDescent="0.2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</row>
    <row r="923" spans="1:20" x14ac:dyDescent="0.2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</row>
    <row r="924" spans="1:20" x14ac:dyDescent="0.2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</row>
    <row r="925" spans="1:20" x14ac:dyDescent="0.2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</row>
    <row r="926" spans="1:20" x14ac:dyDescent="0.2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</row>
    <row r="927" spans="1:20" x14ac:dyDescent="0.2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</row>
    <row r="928" spans="1:20" x14ac:dyDescent="0.2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</row>
    <row r="929" spans="1:20" x14ac:dyDescent="0.2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</row>
    <row r="930" spans="1:20" x14ac:dyDescent="0.2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</row>
    <row r="931" spans="1:20" x14ac:dyDescent="0.2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</row>
    <row r="932" spans="1:20" x14ac:dyDescent="0.2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</row>
    <row r="933" spans="1:20" x14ac:dyDescent="0.2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</row>
    <row r="934" spans="1:20" x14ac:dyDescent="0.2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</row>
    <row r="935" spans="1:20" x14ac:dyDescent="0.2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</row>
    <row r="936" spans="1:20" x14ac:dyDescent="0.2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</row>
    <row r="937" spans="1:20" x14ac:dyDescent="0.2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</row>
    <row r="938" spans="1:20" x14ac:dyDescent="0.2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</row>
    <row r="939" spans="1:20" x14ac:dyDescent="0.2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</row>
    <row r="940" spans="1:20" x14ac:dyDescent="0.2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</row>
    <row r="941" spans="1:20" x14ac:dyDescent="0.2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</row>
    <row r="942" spans="1:20" x14ac:dyDescent="0.2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</row>
    <row r="943" spans="1:20" x14ac:dyDescent="0.2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</row>
    <row r="944" spans="1:20" x14ac:dyDescent="0.2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</row>
    <row r="945" spans="1:20" x14ac:dyDescent="0.2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</row>
    <row r="946" spans="1:20" x14ac:dyDescent="0.2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</row>
    <row r="947" spans="1:20" x14ac:dyDescent="0.2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</row>
    <row r="948" spans="1:20" x14ac:dyDescent="0.2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</row>
    <row r="949" spans="1:20" x14ac:dyDescent="0.2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</row>
    <row r="950" spans="1:20" x14ac:dyDescent="0.2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</row>
    <row r="951" spans="1:20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</row>
    <row r="952" spans="1:20" x14ac:dyDescent="0.2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</row>
    <row r="953" spans="1:20" x14ac:dyDescent="0.2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</row>
    <row r="954" spans="1:20" x14ac:dyDescent="0.2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</row>
    <row r="955" spans="1:20" x14ac:dyDescent="0.2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</row>
    <row r="956" spans="1:20" x14ac:dyDescent="0.2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</row>
    <row r="957" spans="1:20" x14ac:dyDescent="0.2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</row>
    <row r="958" spans="1:20" x14ac:dyDescent="0.2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</row>
    <row r="959" spans="1:20" x14ac:dyDescent="0.2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</row>
    <row r="960" spans="1:20" x14ac:dyDescent="0.2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</row>
    <row r="961" spans="1:20" x14ac:dyDescent="0.2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</row>
    <row r="962" spans="1:20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</row>
    <row r="963" spans="1:20" x14ac:dyDescent="0.2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</row>
    <row r="964" spans="1:20" x14ac:dyDescent="0.2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</row>
    <row r="965" spans="1:20" x14ac:dyDescent="0.2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</row>
    <row r="966" spans="1:20" x14ac:dyDescent="0.2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</row>
    <row r="967" spans="1:20" x14ac:dyDescent="0.2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</row>
    <row r="968" spans="1:20" x14ac:dyDescent="0.2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</row>
    <row r="969" spans="1:20" x14ac:dyDescent="0.2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</row>
    <row r="970" spans="1:20" x14ac:dyDescent="0.2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</row>
    <row r="971" spans="1:20" x14ac:dyDescent="0.2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</row>
    <row r="972" spans="1:20" x14ac:dyDescent="0.2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</row>
    <row r="973" spans="1:20" x14ac:dyDescent="0.2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</row>
    <row r="974" spans="1:20" x14ac:dyDescent="0.2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</row>
    <row r="975" spans="1:20" x14ac:dyDescent="0.2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</row>
    <row r="976" spans="1:20" x14ac:dyDescent="0.2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</row>
    <row r="977" spans="1:20" x14ac:dyDescent="0.2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</row>
    <row r="978" spans="1:20" x14ac:dyDescent="0.2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</row>
    <row r="979" spans="1:20" x14ac:dyDescent="0.2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</row>
    <row r="980" spans="1:20" x14ac:dyDescent="0.2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</row>
    <row r="981" spans="1:20" x14ac:dyDescent="0.2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</row>
    <row r="982" spans="1:20" x14ac:dyDescent="0.2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</row>
    <row r="983" spans="1:20" x14ac:dyDescent="0.2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</row>
    <row r="984" spans="1:20" x14ac:dyDescent="0.2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</row>
    <row r="985" spans="1:20" x14ac:dyDescent="0.2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</row>
    <row r="986" spans="1:20" x14ac:dyDescent="0.2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</row>
    <row r="987" spans="1:20" x14ac:dyDescent="0.2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</row>
    <row r="988" spans="1:20" x14ac:dyDescent="0.2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</row>
    <row r="989" spans="1:20" x14ac:dyDescent="0.2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</row>
    <row r="990" spans="1:20" x14ac:dyDescent="0.2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</row>
    <row r="991" spans="1:20" x14ac:dyDescent="0.2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</row>
    <row r="992" spans="1:20" x14ac:dyDescent="0.2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</row>
    <row r="993" spans="1:20" x14ac:dyDescent="0.2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</row>
    <row r="994" spans="1:20" x14ac:dyDescent="0.2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</row>
    <row r="995" spans="1:20" x14ac:dyDescent="0.2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</row>
    <row r="996" spans="1:20" x14ac:dyDescent="0.2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</row>
    <row r="997" spans="1:20" x14ac:dyDescent="0.2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</row>
    <row r="998" spans="1:20" x14ac:dyDescent="0.2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</row>
    <row r="999" spans="1:20" x14ac:dyDescent="0.2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</row>
    <row r="1000" spans="1:20" x14ac:dyDescent="0.2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</row>
    <row r="1001" spans="1:20" x14ac:dyDescent="0.2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</row>
    <row r="1002" spans="1:20" x14ac:dyDescent="0.2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</row>
    <row r="1003" spans="1:20" x14ac:dyDescent="0.2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</row>
    <row r="1004" spans="1:20" x14ac:dyDescent="0.2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</row>
    <row r="1005" spans="1:20" x14ac:dyDescent="0.2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</row>
    <row r="1006" spans="1:20" x14ac:dyDescent="0.2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</row>
    <row r="1007" spans="1:20" x14ac:dyDescent="0.2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</row>
    <row r="1008" spans="1:20" x14ac:dyDescent="0.2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</row>
    <row r="1009" spans="1:20" x14ac:dyDescent="0.2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</row>
    <row r="1010" spans="1:20" x14ac:dyDescent="0.2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</row>
    <row r="1011" spans="1:20" x14ac:dyDescent="0.2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</row>
    <row r="1012" spans="1:20" x14ac:dyDescent="0.2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</row>
    <row r="1013" spans="1:20" x14ac:dyDescent="0.2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</row>
    <row r="1014" spans="1:20" x14ac:dyDescent="0.2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</row>
    <row r="1015" spans="1:20" x14ac:dyDescent="0.2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</row>
    <row r="1016" spans="1:20" x14ac:dyDescent="0.2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</row>
    <row r="1017" spans="1:20" x14ac:dyDescent="0.2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</row>
    <row r="1018" spans="1:20" x14ac:dyDescent="0.2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</row>
    <row r="1019" spans="1:20" x14ac:dyDescent="0.2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</row>
    <row r="1020" spans="1:20" x14ac:dyDescent="0.2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</row>
    <row r="1021" spans="1:20" x14ac:dyDescent="0.2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</row>
    <row r="1022" spans="1:20" x14ac:dyDescent="0.2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</row>
    <row r="1023" spans="1:20" x14ac:dyDescent="0.2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</row>
    <row r="1024" spans="1:20" x14ac:dyDescent="0.2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</row>
    <row r="1025" spans="1:20" x14ac:dyDescent="0.2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</row>
    <row r="1026" spans="1:20" x14ac:dyDescent="0.2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</row>
    <row r="1027" spans="1:20" x14ac:dyDescent="0.2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</row>
    <row r="1028" spans="1:20" x14ac:dyDescent="0.2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</row>
    <row r="1029" spans="1:20" x14ac:dyDescent="0.2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</row>
    <row r="1030" spans="1:20" x14ac:dyDescent="0.2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</row>
    <row r="1031" spans="1:20" x14ac:dyDescent="0.2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</row>
    <row r="1032" spans="1:20" x14ac:dyDescent="0.2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</row>
    <row r="1033" spans="1:20" x14ac:dyDescent="0.2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</row>
    <row r="1034" spans="1:20" x14ac:dyDescent="0.2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</row>
    <row r="1035" spans="1:20" x14ac:dyDescent="0.2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</row>
    <row r="1036" spans="1:20" x14ac:dyDescent="0.2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</row>
    <row r="1037" spans="1:20" x14ac:dyDescent="0.2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</row>
    <row r="1038" spans="1:20" x14ac:dyDescent="0.2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</row>
    <row r="1039" spans="1:20" x14ac:dyDescent="0.2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</row>
    <row r="1040" spans="1:20" x14ac:dyDescent="0.2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</row>
    <row r="1041" spans="1:20" x14ac:dyDescent="0.2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</row>
    <row r="1042" spans="1:20" x14ac:dyDescent="0.2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1" r:id="rId3" name="TextBox1">
          <controlPr defaultSize="0" autoLine="0" autoPict="0" r:id="rId4">
            <anchor moveWithCells="1">
              <from>
                <xdr:col>0</xdr:col>
                <xdr:colOff>0</xdr:colOff>
                <xdr:row>5</xdr:row>
                <xdr:rowOff>247650</xdr:rowOff>
              </from>
              <to>
                <xdr:col>3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9221" r:id="rId3" name="TextBox1"/>
      </mc:Fallback>
    </mc:AlternateContent>
    <mc:AlternateContent xmlns:mc="http://schemas.openxmlformats.org/markup-compatibility/2006">
      <mc:Choice Requires="x14">
        <control shapeId="9218" r:id="rId5" name="Button 2">
          <controlPr defaultSize="0" print="0" autoFill="0" autoPict="0" macro="[0]!AÑO2016GUARDAR">
            <anchor moveWithCells="1" sizeWithCells="1">
              <from>
                <xdr:col>4</xdr:col>
                <xdr:colOff>9525</xdr:colOff>
                <xdr:row>7</xdr:row>
                <xdr:rowOff>9525</xdr:rowOff>
              </from>
              <to>
                <xdr:col>5</xdr:col>
                <xdr:colOff>0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6" name="Button 3">
          <controlPr defaultSize="0" print="0" autoFill="0" autoPict="0" macro="[0]!_xlnm.Database">
            <anchor moveWithCells="1" sizeWithCells="1">
              <from>
                <xdr:col>5</xdr:col>
                <xdr:colOff>0</xdr:colOff>
                <xdr:row>7</xdr:row>
                <xdr:rowOff>9525</xdr:rowOff>
              </from>
              <to>
                <xdr:col>5</xdr:col>
                <xdr:colOff>1590675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" r:id="rId7" name="Button 4">
          <controlPr defaultSize="0" print="0" autoFill="0" autoPict="0" macro="[0]!MENU">
            <anchor moveWithCells="1" sizeWithCells="1">
              <from>
                <xdr:col>6</xdr:col>
                <xdr:colOff>0</xdr:colOff>
                <xdr:row>7</xdr:row>
                <xdr:rowOff>9525</xdr:rowOff>
              </from>
              <to>
                <xdr:col>7</xdr:col>
                <xdr:colOff>19050</xdr:colOff>
                <xdr:row>9</xdr:row>
                <xdr:rowOff>9525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38384-7029-4E84-B4F3-D88C683202D1}">
  <sheetPr codeName="Hoja5">
    <tabColor rgb="FFFFC000"/>
  </sheetPr>
  <dimension ref="A5:G14"/>
  <sheetViews>
    <sheetView workbookViewId="0">
      <selection activeCell="C25" sqref="C25"/>
    </sheetView>
  </sheetViews>
  <sheetFormatPr baseColWidth="10" defaultRowHeight="15" x14ac:dyDescent="0.25"/>
  <cols>
    <col min="1" max="1" width="37.5703125" style="86" customWidth="1"/>
    <col min="2" max="2" width="21.140625" style="86" customWidth="1"/>
    <col min="3" max="3" width="16.85546875" style="86" customWidth="1"/>
    <col min="4" max="4" width="5.85546875" style="86" customWidth="1"/>
    <col min="5" max="5" width="36.140625" style="86" customWidth="1"/>
    <col min="6" max="6" width="24.140625" style="86" customWidth="1"/>
    <col min="7" max="16384" width="11.42578125" style="86"/>
  </cols>
  <sheetData>
    <row r="5" spans="1:7" ht="15.75" thickBot="1" x14ac:dyDescent="0.3"/>
    <row r="6" spans="1:7" ht="27" thickBot="1" x14ac:dyDescent="0.45">
      <c r="E6" s="87" t="s">
        <v>3</v>
      </c>
      <c r="F6" s="88" t="s">
        <v>1</v>
      </c>
      <c r="G6" s="89" t="s">
        <v>2</v>
      </c>
    </row>
    <row r="7" spans="1:7" ht="19.5" thickBot="1" x14ac:dyDescent="0.35">
      <c r="E7" s="25"/>
      <c r="F7" s="24" t="s">
        <v>16</v>
      </c>
      <c r="G7" s="57" t="s">
        <v>120</v>
      </c>
    </row>
    <row r="10" spans="1:7" ht="15.75" thickBot="1" x14ac:dyDescent="0.3"/>
    <row r="11" spans="1:7" ht="19.5" thickBot="1" x14ac:dyDescent="0.35">
      <c r="A11" s="90" t="s">
        <v>4</v>
      </c>
      <c r="B11" s="91" t="s">
        <v>1</v>
      </c>
      <c r="C11" s="36" t="s">
        <v>2</v>
      </c>
    </row>
    <row r="12" spans="1:7" ht="19.5" thickBot="1" x14ac:dyDescent="0.35">
      <c r="A12" s="25" t="s">
        <v>1458</v>
      </c>
      <c r="B12" s="24" t="s">
        <v>16</v>
      </c>
      <c r="C12" s="57" t="s">
        <v>119</v>
      </c>
    </row>
    <row r="13" spans="1:7" ht="19.5" thickBot="1" x14ac:dyDescent="0.35">
      <c r="A13" s="23" t="s">
        <v>15</v>
      </c>
      <c r="B13" s="24" t="s">
        <v>16</v>
      </c>
      <c r="C13" s="22" t="s">
        <v>118</v>
      </c>
    </row>
    <row r="14" spans="1:7" ht="19.5" thickBot="1" x14ac:dyDescent="0.35">
      <c r="A14" s="24" t="s">
        <v>9</v>
      </c>
      <c r="B14" s="24"/>
      <c r="C14" s="24">
        <f>SUBTOTAL(103,AÑO2017[FICHA])</f>
        <v>2</v>
      </c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TextBox1">
          <controlPr defaultSize="0" autoLine="0" autoPict="0" r:id="rId4">
            <anchor moveWithCells="1">
              <from>
                <xdr:col>0</xdr:col>
                <xdr:colOff>0</xdr:colOff>
                <xdr:row>5</xdr:row>
                <xdr:rowOff>114300</xdr:rowOff>
              </from>
              <to>
                <xdr:col>2</xdr:col>
                <xdr:colOff>1104900</xdr:colOff>
                <xdr:row>6</xdr:row>
                <xdr:rowOff>142875</xdr:rowOff>
              </to>
            </anchor>
          </controlPr>
        </control>
      </mc:Choice>
      <mc:Fallback>
        <control shapeId="11265" r:id="rId3" name="TextBox1"/>
      </mc:Fallback>
    </mc:AlternateContent>
    <mc:AlternateContent xmlns:mc="http://schemas.openxmlformats.org/markup-compatibility/2006">
      <mc:Choice Requires="x14">
        <control shapeId="11266" r:id="rId5" name="Button 2">
          <controlPr defaultSize="0" print="0" autoFill="0" autoPict="0" macro="[0]!AÑO2017GUARDAR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5</xdr:col>
                <xdr:colOff>0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6" name="Button 3">
          <controlPr defaultSize="0" print="0" autoFill="0" autoPict="0" macro="[0]!_xlnm.Database">
            <anchor moveWithCells="1" sizeWithCells="1">
              <from>
                <xdr:col>4</xdr:col>
                <xdr:colOff>2409825</xdr:colOff>
                <xdr:row>7</xdr:row>
                <xdr:rowOff>9525</xdr:rowOff>
              </from>
              <to>
                <xdr:col>5</xdr:col>
                <xdr:colOff>1590675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7" name="Button 4">
          <controlPr defaultSize="0" print="0" autoFill="0" autoPict="0" macro="[0]!MENU">
            <anchor moveWithCells="1" sizeWithCells="1">
              <from>
                <xdr:col>5</xdr:col>
                <xdr:colOff>1600200</xdr:colOff>
                <xdr:row>7</xdr:row>
                <xdr:rowOff>19050</xdr:rowOff>
              </from>
              <to>
                <xdr:col>7</xdr:col>
                <xdr:colOff>19050</xdr:colOff>
                <xdr:row>9</xdr:row>
                <xdr:rowOff>9525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B1D71-3955-4E5B-A062-D46A1D7FFC93}">
  <sheetPr codeName="Hoja7">
    <tabColor rgb="FFFFFF00"/>
  </sheetPr>
  <dimension ref="A5:G18"/>
  <sheetViews>
    <sheetView workbookViewId="0">
      <selection activeCell="E27" sqref="E27"/>
    </sheetView>
  </sheetViews>
  <sheetFormatPr baseColWidth="10" defaultRowHeight="15" x14ac:dyDescent="0.25"/>
  <cols>
    <col min="1" max="1" width="46.140625" style="93" customWidth="1"/>
    <col min="2" max="2" width="21.85546875" style="93" customWidth="1"/>
    <col min="3" max="3" width="12" style="93" customWidth="1"/>
    <col min="4" max="4" width="4.5703125" style="93" customWidth="1"/>
    <col min="5" max="5" width="36" style="93" customWidth="1"/>
    <col min="6" max="6" width="24.5703125" style="93" customWidth="1"/>
    <col min="7" max="16384" width="11.42578125" style="93"/>
  </cols>
  <sheetData>
    <row r="5" spans="1:7" ht="15.75" thickBot="1" x14ac:dyDescent="0.3"/>
    <row r="6" spans="1:7" ht="27" thickBot="1" x14ac:dyDescent="0.45">
      <c r="E6" s="94" t="s">
        <v>3</v>
      </c>
      <c r="F6" s="95" t="s">
        <v>1</v>
      </c>
      <c r="G6" s="96" t="s">
        <v>2</v>
      </c>
    </row>
    <row r="7" spans="1:7" ht="19.5" thickBot="1" x14ac:dyDescent="0.35">
      <c r="E7" s="25"/>
      <c r="F7" s="24" t="s">
        <v>18</v>
      </c>
      <c r="G7" s="57" t="s">
        <v>125</v>
      </c>
    </row>
    <row r="9" spans="1:7" ht="15.75" thickBot="1" x14ac:dyDescent="0.3"/>
    <row r="10" spans="1:7" ht="19.5" thickBot="1" x14ac:dyDescent="0.35">
      <c r="A10" s="97" t="s">
        <v>4</v>
      </c>
      <c r="B10" s="97" t="s">
        <v>1</v>
      </c>
      <c r="C10" s="31" t="s">
        <v>2</v>
      </c>
    </row>
    <row r="11" spans="1:7" ht="19.5" thickBot="1" x14ac:dyDescent="0.35">
      <c r="A11" s="23" t="s">
        <v>20</v>
      </c>
      <c r="B11" s="24" t="s">
        <v>18</v>
      </c>
      <c r="C11" s="26" t="s">
        <v>118</v>
      </c>
    </row>
    <row r="12" spans="1:7" ht="19.5" thickBot="1" x14ac:dyDescent="0.35">
      <c r="A12" s="23" t="s">
        <v>22</v>
      </c>
      <c r="B12" s="24" t="s">
        <v>18</v>
      </c>
      <c r="C12" s="26" t="s">
        <v>119</v>
      </c>
    </row>
    <row r="13" spans="1:7" ht="19.5" thickBot="1" x14ac:dyDescent="0.35">
      <c r="A13" s="23" t="s">
        <v>17</v>
      </c>
      <c r="B13" s="24" t="s">
        <v>18</v>
      </c>
      <c r="C13" s="26" t="s">
        <v>120</v>
      </c>
    </row>
    <row r="14" spans="1:7" ht="19.5" thickBot="1" x14ac:dyDescent="0.35">
      <c r="A14" s="23" t="s">
        <v>19</v>
      </c>
      <c r="B14" s="24" t="s">
        <v>18</v>
      </c>
      <c r="C14" s="26" t="s">
        <v>121</v>
      </c>
    </row>
    <row r="15" spans="1:7" ht="19.5" thickBot="1" x14ac:dyDescent="0.35">
      <c r="A15" s="23" t="s">
        <v>24</v>
      </c>
      <c r="B15" s="24" t="s">
        <v>18</v>
      </c>
      <c r="C15" s="26" t="s">
        <v>122</v>
      </c>
    </row>
    <row r="16" spans="1:7" ht="19.5" thickBot="1" x14ac:dyDescent="0.35">
      <c r="A16" s="23" t="s">
        <v>23</v>
      </c>
      <c r="B16" s="24" t="s">
        <v>18</v>
      </c>
      <c r="C16" s="26" t="s">
        <v>123</v>
      </c>
    </row>
    <row r="17" spans="1:3" ht="19.5" thickBot="1" x14ac:dyDescent="0.35">
      <c r="A17" s="27" t="s">
        <v>21</v>
      </c>
      <c r="B17" s="24" t="s">
        <v>18</v>
      </c>
      <c r="C17" s="26" t="s">
        <v>124</v>
      </c>
    </row>
    <row r="18" spans="1:3" ht="19.5" thickBot="1" x14ac:dyDescent="0.35">
      <c r="A18" s="24" t="s">
        <v>356</v>
      </c>
      <c r="B18" s="24"/>
      <c r="C18" s="22">
        <f>SUBTOTAL(103,TABLAÑO2018[FICHA])</f>
        <v>7</v>
      </c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TextBox1">
          <controlPr defaultSize="0" autoLine="0" r:id="rId4">
            <anchor moveWithCells="1">
              <from>
                <xdr:col>0</xdr:col>
                <xdr:colOff>0</xdr:colOff>
                <xdr:row>4</xdr:row>
                <xdr:rowOff>180975</xdr:rowOff>
              </from>
              <to>
                <xdr:col>3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3313" r:id="rId3" name="TextBox1"/>
      </mc:Fallback>
    </mc:AlternateContent>
    <mc:AlternateContent xmlns:mc="http://schemas.openxmlformats.org/markup-compatibility/2006">
      <mc:Choice Requires="x14">
        <control shapeId="13314" r:id="rId5" name="Button 2">
          <controlPr defaultSize="0" print="0" autoFill="0" autoPict="0" macro="[0]!AÑO2018GUARDAR">
            <anchor moveWithCells="1" sizeWithCells="1">
              <from>
                <xdr:col>3</xdr:col>
                <xdr:colOff>304800</xdr:colOff>
                <xdr:row>7</xdr:row>
                <xdr:rowOff>19050</xdr:rowOff>
              </from>
              <to>
                <xdr:col>4</xdr:col>
                <xdr:colOff>2371725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6" name="Button 3">
          <controlPr defaultSize="0" print="0" autoFill="0" autoPict="0" macro="[0]!_xlnm.Database">
            <anchor moveWithCells="1" sizeWithCells="1">
              <from>
                <xdr:col>4</xdr:col>
                <xdr:colOff>2381250</xdr:colOff>
                <xdr:row>7</xdr:row>
                <xdr:rowOff>19050</xdr:rowOff>
              </from>
              <to>
                <xdr:col>6</xdr:col>
                <xdr:colOff>0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6" r:id="rId7" name="Button 4">
          <controlPr defaultSize="0" print="0" autoFill="0" autoPict="0" macro="[0]!MENU">
            <anchor moveWithCells="1" sizeWithCells="1">
              <from>
                <xdr:col>5</xdr:col>
                <xdr:colOff>1638300</xdr:colOff>
                <xdr:row>7</xdr:row>
                <xdr:rowOff>9525</xdr:rowOff>
              </from>
              <to>
                <xdr:col>7</xdr:col>
                <xdr:colOff>9525</xdr:colOff>
                <xdr:row>9</xdr:row>
                <xdr:rowOff>38100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2ABD4-34BE-4916-89CA-47134729263D}">
  <sheetPr codeName="Hoja8">
    <tabColor rgb="FF0000FF"/>
  </sheetPr>
  <dimension ref="A1:BA1222"/>
  <sheetViews>
    <sheetView workbookViewId="0">
      <selection activeCell="B21" sqref="B21"/>
    </sheetView>
  </sheetViews>
  <sheetFormatPr baseColWidth="10" defaultRowHeight="15" x14ac:dyDescent="0.25"/>
  <cols>
    <col min="1" max="1" width="45.42578125" customWidth="1"/>
    <col min="2" max="2" width="18.5703125" customWidth="1"/>
    <col min="3" max="3" width="12.28515625" customWidth="1"/>
    <col min="4" max="4" width="4.28515625" customWidth="1"/>
    <col min="5" max="5" width="35.5703125" customWidth="1"/>
    <col min="6" max="6" width="24.85546875" customWidth="1"/>
  </cols>
  <sheetData>
    <row r="1" spans="1:53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</row>
    <row r="2" spans="1:53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</row>
    <row r="3" spans="1:53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</row>
    <row r="4" spans="1:53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</row>
    <row r="5" spans="1:53" ht="15.75" thickBot="1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</row>
    <row r="6" spans="1:53" ht="27" thickBot="1" x14ac:dyDescent="0.45">
      <c r="A6" s="10"/>
      <c r="B6" s="10"/>
      <c r="C6" s="10"/>
      <c r="D6" s="10"/>
      <c r="E6" s="52" t="s">
        <v>3</v>
      </c>
      <c r="F6" s="53" t="s">
        <v>1</v>
      </c>
      <c r="G6" s="51" t="s">
        <v>2</v>
      </c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</row>
    <row r="7" spans="1:53" ht="19.5" thickBot="1" x14ac:dyDescent="0.35">
      <c r="A7" s="10"/>
      <c r="B7" s="10"/>
      <c r="C7" s="10"/>
      <c r="D7" s="10"/>
      <c r="E7" s="25"/>
      <c r="F7" s="24" t="s">
        <v>26</v>
      </c>
      <c r="G7" s="60" t="s">
        <v>122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</row>
    <row r="8" spans="1:53" x14ac:dyDescent="0.25">
      <c r="A8" s="10"/>
      <c r="B8" s="10"/>
      <c r="C8" s="10"/>
      <c r="D8" s="10"/>
      <c r="E8" s="9"/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</row>
    <row r="9" spans="1:53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</row>
    <row r="10" spans="1:53" ht="15.75" thickBot="1" x14ac:dyDescent="0.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</row>
    <row r="11" spans="1:53" ht="19.5" thickBot="1" x14ac:dyDescent="0.35">
      <c r="A11" s="31" t="s">
        <v>4</v>
      </c>
      <c r="B11" s="31" t="s">
        <v>1</v>
      </c>
      <c r="C11" s="31" t="s">
        <v>2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</row>
    <row r="12" spans="1:53" ht="19.5" thickBot="1" x14ac:dyDescent="0.35">
      <c r="A12" s="23" t="s">
        <v>25</v>
      </c>
      <c r="B12" s="24" t="s">
        <v>26</v>
      </c>
      <c r="C12" s="24" t="s">
        <v>118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</row>
    <row r="13" spans="1:53" ht="19.5" thickBot="1" x14ac:dyDescent="0.35">
      <c r="A13" s="23" t="s">
        <v>27</v>
      </c>
      <c r="B13" s="24" t="s">
        <v>26</v>
      </c>
      <c r="C13" s="24" t="s">
        <v>119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</row>
    <row r="14" spans="1:53" ht="19.5" thickBot="1" x14ac:dyDescent="0.35">
      <c r="A14" s="23" t="s">
        <v>29</v>
      </c>
      <c r="B14" s="24" t="s">
        <v>26</v>
      </c>
      <c r="C14" s="24" t="s">
        <v>120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</row>
    <row r="15" spans="1:53" ht="19.5" thickBot="1" x14ac:dyDescent="0.35">
      <c r="A15" s="24" t="s">
        <v>28</v>
      </c>
      <c r="B15" s="28" t="s">
        <v>26</v>
      </c>
      <c r="C15" s="24" t="s">
        <v>121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</row>
    <row r="16" spans="1:53" ht="19.5" thickBot="1" x14ac:dyDescent="0.35">
      <c r="A16" s="24" t="s">
        <v>356</v>
      </c>
      <c r="B16" s="24"/>
      <c r="C16" s="22">
        <f>SUBTOTAL(103,TABLAAÑO2019[FICHA])</f>
        <v>4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</row>
    <row r="17" spans="1:53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</row>
    <row r="18" spans="1:53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</row>
    <row r="19" spans="1:53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</row>
    <row r="20" spans="1:53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</row>
    <row r="21" spans="1:53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</row>
    <row r="22" spans="1:53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</row>
    <row r="23" spans="1:53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</row>
    <row r="24" spans="1:53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</row>
    <row r="25" spans="1:53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</row>
    <row r="26" spans="1:53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</row>
    <row r="27" spans="1:53" x14ac:dyDescent="0.25">
      <c r="A27" s="10"/>
      <c r="B27" s="98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</row>
    <row r="28" spans="1:53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</row>
    <row r="29" spans="1:53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</row>
    <row r="30" spans="1:53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</row>
    <row r="31" spans="1:53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</row>
    <row r="32" spans="1:53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</row>
    <row r="33" spans="1:53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</row>
    <row r="34" spans="1:53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</row>
    <row r="35" spans="1:53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</row>
    <row r="36" spans="1:53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</row>
    <row r="37" spans="1:53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</row>
    <row r="38" spans="1:53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</row>
    <row r="39" spans="1:53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</row>
    <row r="40" spans="1:53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</row>
    <row r="41" spans="1:53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</row>
    <row r="42" spans="1:53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</row>
    <row r="43" spans="1:53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</row>
    <row r="44" spans="1:53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</row>
    <row r="45" spans="1:53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</row>
    <row r="46" spans="1:53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</row>
    <row r="47" spans="1:53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</row>
    <row r="48" spans="1:53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</row>
    <row r="49" spans="1:53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</row>
    <row r="50" spans="1:53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</row>
    <row r="51" spans="1:53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</row>
    <row r="52" spans="1:53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</row>
    <row r="53" spans="1:53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</row>
    <row r="54" spans="1:53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</row>
    <row r="55" spans="1:53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</row>
    <row r="56" spans="1:53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</row>
    <row r="57" spans="1:53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</row>
    <row r="58" spans="1:53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</row>
    <row r="59" spans="1:53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</row>
    <row r="60" spans="1:53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</row>
    <row r="61" spans="1:53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</row>
    <row r="62" spans="1:53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</row>
    <row r="63" spans="1:53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</row>
    <row r="64" spans="1:53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</row>
    <row r="65" spans="1:53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</row>
    <row r="66" spans="1:53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</row>
    <row r="67" spans="1:53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</row>
    <row r="68" spans="1:53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</row>
    <row r="69" spans="1:53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</row>
    <row r="70" spans="1:53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</row>
    <row r="71" spans="1:53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</row>
    <row r="72" spans="1:53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</row>
    <row r="73" spans="1:53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</row>
    <row r="74" spans="1:53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</row>
    <row r="75" spans="1:53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</row>
    <row r="76" spans="1:53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</row>
    <row r="77" spans="1:53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</row>
    <row r="78" spans="1:53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</row>
    <row r="79" spans="1:53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</row>
    <row r="80" spans="1:53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</row>
    <row r="81" spans="1:53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</row>
    <row r="82" spans="1:53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</row>
    <row r="83" spans="1:53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</row>
    <row r="84" spans="1:53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</row>
    <row r="85" spans="1:53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</row>
    <row r="86" spans="1:53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</row>
    <row r="87" spans="1:53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</row>
    <row r="88" spans="1:53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</row>
    <row r="89" spans="1:53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</row>
    <row r="90" spans="1:53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</row>
    <row r="91" spans="1:53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</row>
    <row r="92" spans="1:53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</row>
    <row r="93" spans="1:53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</row>
    <row r="94" spans="1:53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</row>
    <row r="95" spans="1:53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</row>
    <row r="96" spans="1:53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</row>
    <row r="97" spans="1:53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</row>
    <row r="98" spans="1:53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</row>
    <row r="99" spans="1:53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</row>
    <row r="100" spans="1:53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</row>
    <row r="101" spans="1:53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</row>
    <row r="102" spans="1:53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</row>
    <row r="103" spans="1:53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</row>
    <row r="104" spans="1:53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</row>
    <row r="105" spans="1:53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</row>
    <row r="106" spans="1:53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</row>
    <row r="107" spans="1:53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</row>
    <row r="108" spans="1:53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</row>
    <row r="109" spans="1:53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</row>
    <row r="110" spans="1:53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</row>
    <row r="111" spans="1:53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</row>
    <row r="112" spans="1:53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</row>
    <row r="113" spans="1:53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</row>
    <row r="114" spans="1:53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</row>
    <row r="115" spans="1:53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</row>
    <row r="116" spans="1:53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</row>
    <row r="117" spans="1:53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</row>
    <row r="118" spans="1:53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</row>
    <row r="119" spans="1:53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</row>
    <row r="120" spans="1:53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</row>
    <row r="121" spans="1:53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</row>
    <row r="122" spans="1:53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</row>
    <row r="123" spans="1:53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</row>
    <row r="124" spans="1:53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</row>
    <row r="125" spans="1:53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</row>
    <row r="126" spans="1:53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</row>
    <row r="127" spans="1:53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</row>
    <row r="128" spans="1:53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</row>
    <row r="129" spans="1:53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</row>
    <row r="130" spans="1:53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</row>
    <row r="131" spans="1:53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</row>
    <row r="132" spans="1:53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</row>
    <row r="133" spans="1:53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</row>
    <row r="134" spans="1:53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</row>
    <row r="135" spans="1:53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</row>
    <row r="136" spans="1:53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</row>
    <row r="137" spans="1:53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</row>
    <row r="138" spans="1:53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</row>
    <row r="139" spans="1:53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</row>
    <row r="140" spans="1:53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</row>
    <row r="141" spans="1:53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</row>
    <row r="142" spans="1:53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</row>
    <row r="143" spans="1:53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</row>
    <row r="144" spans="1:53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</row>
    <row r="145" spans="1:53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</row>
    <row r="146" spans="1:53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</row>
    <row r="147" spans="1:53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</row>
    <row r="148" spans="1:53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</row>
    <row r="149" spans="1:53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</row>
    <row r="150" spans="1:53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</row>
    <row r="151" spans="1:53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</row>
    <row r="152" spans="1:53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</row>
    <row r="153" spans="1:53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</row>
    <row r="154" spans="1:53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</row>
    <row r="155" spans="1:53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</row>
    <row r="156" spans="1:53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</row>
    <row r="157" spans="1:53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</row>
    <row r="158" spans="1:53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</row>
    <row r="159" spans="1:53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</row>
    <row r="160" spans="1:53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</row>
    <row r="161" spans="1:53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</row>
    <row r="162" spans="1:53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</row>
    <row r="163" spans="1:53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</row>
    <row r="164" spans="1:53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</row>
    <row r="165" spans="1:53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</row>
    <row r="166" spans="1:53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</row>
    <row r="167" spans="1:53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</row>
    <row r="168" spans="1:53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</row>
    <row r="169" spans="1:53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</row>
    <row r="170" spans="1:53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</row>
    <row r="171" spans="1:53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</row>
    <row r="172" spans="1:53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</row>
    <row r="173" spans="1:53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</row>
    <row r="174" spans="1:53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</row>
    <row r="175" spans="1:53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</row>
    <row r="176" spans="1:53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</row>
    <row r="177" spans="1:53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</row>
    <row r="178" spans="1:53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</row>
    <row r="179" spans="1:53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</row>
    <row r="180" spans="1:53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</row>
    <row r="181" spans="1:53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</row>
    <row r="182" spans="1:53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</row>
    <row r="183" spans="1:53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</row>
    <row r="184" spans="1:53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</row>
    <row r="185" spans="1:53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</row>
    <row r="186" spans="1:53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</row>
    <row r="187" spans="1:53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</row>
    <row r="188" spans="1:53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</row>
    <row r="189" spans="1:53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</row>
    <row r="190" spans="1:53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</row>
    <row r="191" spans="1:53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</row>
    <row r="192" spans="1:53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</row>
    <row r="193" spans="1:53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</row>
    <row r="194" spans="1:53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</row>
    <row r="195" spans="1:53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</row>
    <row r="196" spans="1:53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</row>
    <row r="197" spans="1:53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</row>
    <row r="198" spans="1:53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</row>
    <row r="199" spans="1:53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</row>
    <row r="200" spans="1:53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</row>
    <row r="201" spans="1:53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</row>
    <row r="202" spans="1:53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</row>
    <row r="203" spans="1:53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</row>
    <row r="204" spans="1:53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</row>
    <row r="205" spans="1:53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</row>
    <row r="206" spans="1:53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</row>
    <row r="207" spans="1:53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</row>
    <row r="208" spans="1:53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</row>
    <row r="209" spans="1:53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</row>
    <row r="210" spans="1:53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</row>
    <row r="211" spans="1:53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</row>
    <row r="212" spans="1:53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</row>
    <row r="213" spans="1:53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</row>
    <row r="214" spans="1:53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</row>
    <row r="215" spans="1:53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</row>
    <row r="216" spans="1:53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</row>
    <row r="217" spans="1:53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</row>
    <row r="218" spans="1:53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</row>
    <row r="219" spans="1:53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</row>
    <row r="220" spans="1:53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</row>
    <row r="221" spans="1:53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</row>
    <row r="222" spans="1:53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</row>
    <row r="223" spans="1:53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</row>
    <row r="224" spans="1:53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</row>
    <row r="225" spans="1:53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</row>
    <row r="226" spans="1:53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</row>
    <row r="227" spans="1:53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</row>
    <row r="228" spans="1:53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</row>
    <row r="229" spans="1:53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</row>
    <row r="230" spans="1:53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</row>
    <row r="231" spans="1:53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</row>
    <row r="232" spans="1:53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</row>
    <row r="233" spans="1:53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</row>
    <row r="234" spans="1:53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</row>
    <row r="235" spans="1:53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</row>
    <row r="236" spans="1:53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</row>
    <row r="237" spans="1:53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</row>
    <row r="238" spans="1:53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</row>
    <row r="239" spans="1:53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</row>
    <row r="240" spans="1:53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</row>
    <row r="241" spans="1:53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</row>
    <row r="242" spans="1:53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</row>
    <row r="243" spans="1:53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</row>
    <row r="244" spans="1:53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</row>
    <row r="245" spans="1:53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</row>
    <row r="246" spans="1:53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</row>
    <row r="247" spans="1:53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</row>
    <row r="248" spans="1:53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</row>
    <row r="249" spans="1:53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</row>
    <row r="250" spans="1:53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</row>
    <row r="251" spans="1:53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</row>
    <row r="252" spans="1:53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</row>
    <row r="253" spans="1:53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</row>
    <row r="254" spans="1:53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</row>
    <row r="255" spans="1:53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</row>
    <row r="256" spans="1:53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</row>
    <row r="257" spans="1:53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</row>
    <row r="258" spans="1:53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</row>
    <row r="259" spans="1:53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</row>
    <row r="260" spans="1:53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</row>
    <row r="261" spans="1:53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</row>
    <row r="262" spans="1:53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</row>
    <row r="263" spans="1:53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</row>
    <row r="264" spans="1:53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</row>
    <row r="265" spans="1:53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</row>
    <row r="266" spans="1:53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</row>
    <row r="267" spans="1:53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</row>
    <row r="268" spans="1:53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</row>
    <row r="269" spans="1:53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</row>
    <row r="270" spans="1:53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</row>
    <row r="271" spans="1:53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</row>
    <row r="272" spans="1:53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</row>
    <row r="273" spans="1:53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</row>
    <row r="274" spans="1:53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</row>
    <row r="275" spans="1:53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</row>
    <row r="276" spans="1:53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</row>
    <row r="277" spans="1:53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</row>
    <row r="278" spans="1:53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</row>
    <row r="279" spans="1:53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</row>
    <row r="280" spans="1:53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</row>
    <row r="281" spans="1:53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</row>
    <row r="282" spans="1:53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</row>
    <row r="283" spans="1:53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</row>
    <row r="284" spans="1:53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</row>
    <row r="285" spans="1:53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</row>
    <row r="286" spans="1:53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</row>
    <row r="287" spans="1:53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</row>
    <row r="288" spans="1:53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</row>
    <row r="289" spans="1:53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</row>
    <row r="290" spans="1:53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</row>
    <row r="291" spans="1:53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</row>
    <row r="292" spans="1:53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</row>
    <row r="293" spans="1:53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</row>
    <row r="294" spans="1:53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</row>
    <row r="295" spans="1:53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</row>
    <row r="296" spans="1:53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</row>
    <row r="297" spans="1:53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</row>
    <row r="298" spans="1:53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</row>
    <row r="299" spans="1:53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</row>
    <row r="300" spans="1:53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</row>
    <row r="301" spans="1:53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</row>
    <row r="302" spans="1:53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</row>
    <row r="303" spans="1:53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</row>
    <row r="304" spans="1:53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</row>
    <row r="305" spans="1:53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</row>
    <row r="306" spans="1:53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</row>
    <row r="307" spans="1:53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</row>
    <row r="308" spans="1:53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</row>
    <row r="309" spans="1:53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</row>
    <row r="310" spans="1:53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</row>
    <row r="311" spans="1:53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</row>
    <row r="312" spans="1:53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</row>
    <row r="313" spans="1:53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</row>
    <row r="314" spans="1:53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</row>
    <row r="315" spans="1:53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</row>
    <row r="316" spans="1:53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</row>
    <row r="317" spans="1:53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</row>
    <row r="318" spans="1:53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</row>
    <row r="319" spans="1:53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</row>
    <row r="320" spans="1:53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</row>
    <row r="321" spans="1:53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</row>
    <row r="322" spans="1:53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</row>
    <row r="323" spans="1:53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</row>
    <row r="324" spans="1:53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</row>
    <row r="325" spans="1:53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</row>
    <row r="326" spans="1:53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</row>
    <row r="327" spans="1:53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</row>
    <row r="328" spans="1:53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</row>
    <row r="329" spans="1:53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</row>
    <row r="330" spans="1:53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</row>
    <row r="331" spans="1:53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</row>
    <row r="332" spans="1:53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</row>
    <row r="333" spans="1:53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</row>
    <row r="334" spans="1:53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</row>
    <row r="335" spans="1:53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</row>
    <row r="336" spans="1:53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</row>
    <row r="337" spans="1:53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</row>
    <row r="338" spans="1:53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</row>
    <row r="339" spans="1:53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</row>
    <row r="340" spans="1:53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</row>
    <row r="341" spans="1:53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</row>
    <row r="342" spans="1:53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</row>
    <row r="343" spans="1:53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</row>
    <row r="344" spans="1:53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</row>
    <row r="345" spans="1:53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</row>
    <row r="346" spans="1:53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</row>
    <row r="347" spans="1:53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</row>
    <row r="348" spans="1:53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</row>
    <row r="349" spans="1:53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</row>
    <row r="350" spans="1:53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</row>
    <row r="351" spans="1:53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</row>
    <row r="352" spans="1:53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</row>
    <row r="353" spans="1:53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</row>
    <row r="354" spans="1:53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</row>
    <row r="355" spans="1:53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</row>
    <row r="356" spans="1:53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</row>
    <row r="357" spans="1:53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</row>
    <row r="358" spans="1:53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</row>
    <row r="359" spans="1:53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</row>
    <row r="360" spans="1:53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</row>
    <row r="361" spans="1:53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</row>
    <row r="362" spans="1:53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</row>
    <row r="363" spans="1:53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</row>
    <row r="364" spans="1:53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</row>
    <row r="365" spans="1:53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</row>
    <row r="366" spans="1:53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</row>
    <row r="367" spans="1:53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</row>
    <row r="368" spans="1:53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</row>
    <row r="369" spans="1:53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</row>
    <row r="370" spans="1:53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</row>
    <row r="371" spans="1:53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</row>
    <row r="372" spans="1:53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</row>
    <row r="373" spans="1:53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</row>
    <row r="374" spans="1:53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</row>
    <row r="375" spans="1:53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</row>
    <row r="376" spans="1:53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</row>
    <row r="377" spans="1:53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</row>
    <row r="378" spans="1:53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</row>
    <row r="379" spans="1:53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</row>
    <row r="380" spans="1:53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</row>
    <row r="381" spans="1:53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</row>
    <row r="382" spans="1:53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</row>
    <row r="383" spans="1:53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</row>
    <row r="384" spans="1:53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</row>
    <row r="385" spans="1:53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</row>
    <row r="386" spans="1:53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</row>
    <row r="387" spans="1:53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</row>
    <row r="388" spans="1:53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</row>
    <row r="389" spans="1:53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</row>
    <row r="390" spans="1:53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</row>
    <row r="391" spans="1:53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</row>
    <row r="392" spans="1:53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</row>
    <row r="393" spans="1:53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</row>
    <row r="394" spans="1:53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</row>
    <row r="395" spans="1:53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</row>
    <row r="396" spans="1:53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</row>
    <row r="397" spans="1:53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</row>
    <row r="398" spans="1:53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</row>
    <row r="399" spans="1:53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</row>
    <row r="400" spans="1:53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</row>
    <row r="401" spans="1:53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</row>
    <row r="402" spans="1:53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</row>
    <row r="403" spans="1:53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</row>
    <row r="404" spans="1:53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</row>
    <row r="405" spans="1:53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</row>
    <row r="406" spans="1:53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</row>
    <row r="407" spans="1:53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</row>
    <row r="408" spans="1:53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</row>
    <row r="409" spans="1:53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</row>
    <row r="410" spans="1:53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</row>
    <row r="411" spans="1:53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</row>
    <row r="412" spans="1:53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</row>
    <row r="413" spans="1:53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</row>
    <row r="414" spans="1:53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</row>
    <row r="415" spans="1:53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</row>
    <row r="416" spans="1:53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</row>
    <row r="417" spans="1:53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</row>
    <row r="418" spans="1:53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</row>
    <row r="419" spans="1:53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</row>
    <row r="420" spans="1:53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</row>
    <row r="421" spans="1:53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</row>
    <row r="422" spans="1:53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</row>
    <row r="423" spans="1:53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</row>
    <row r="424" spans="1:53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</row>
    <row r="425" spans="1:53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</row>
    <row r="426" spans="1:53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</row>
    <row r="427" spans="1:53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</row>
    <row r="428" spans="1:53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</row>
    <row r="429" spans="1:53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</row>
    <row r="430" spans="1:53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</row>
    <row r="431" spans="1:53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</row>
    <row r="432" spans="1:53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</row>
    <row r="433" spans="1:53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</row>
    <row r="434" spans="1:53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</row>
    <row r="435" spans="1:53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</row>
    <row r="436" spans="1:53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  <c r="BA436" s="10"/>
    </row>
    <row r="437" spans="1:53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</row>
    <row r="438" spans="1:53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</row>
    <row r="439" spans="1:53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</row>
    <row r="440" spans="1:53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</row>
    <row r="441" spans="1:53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</row>
    <row r="442" spans="1:53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</row>
    <row r="443" spans="1:53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  <c r="BA443" s="10"/>
    </row>
    <row r="444" spans="1:53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</row>
    <row r="445" spans="1:53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  <c r="AY445" s="10"/>
      <c r="AZ445" s="10"/>
      <c r="BA445" s="10"/>
    </row>
    <row r="446" spans="1:53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  <c r="BA446" s="10"/>
    </row>
    <row r="447" spans="1:53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  <c r="AY447" s="10"/>
      <c r="AZ447" s="10"/>
      <c r="BA447" s="10"/>
    </row>
    <row r="448" spans="1:53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  <c r="BA448" s="10"/>
    </row>
    <row r="449" spans="1:53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  <c r="BA449" s="10"/>
    </row>
    <row r="450" spans="1:53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  <c r="AY450" s="10"/>
      <c r="AZ450" s="10"/>
      <c r="BA450" s="10"/>
    </row>
    <row r="451" spans="1:53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</row>
    <row r="452" spans="1:53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</row>
    <row r="453" spans="1:53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</row>
    <row r="454" spans="1:53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  <c r="BA454" s="10"/>
    </row>
    <row r="455" spans="1:53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  <c r="BA455" s="10"/>
    </row>
    <row r="456" spans="1:53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  <c r="AY456" s="10"/>
      <c r="AZ456" s="10"/>
      <c r="BA456" s="10"/>
    </row>
    <row r="457" spans="1:53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  <c r="AY457" s="10"/>
      <c r="AZ457" s="10"/>
      <c r="BA457" s="10"/>
    </row>
    <row r="458" spans="1:53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  <c r="BA458" s="10"/>
    </row>
    <row r="459" spans="1:53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  <c r="BA459" s="10"/>
    </row>
    <row r="460" spans="1:53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  <c r="BA460" s="10"/>
    </row>
    <row r="461" spans="1:53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  <c r="AY461" s="10"/>
      <c r="AZ461" s="10"/>
      <c r="BA461" s="10"/>
    </row>
    <row r="462" spans="1:53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</row>
    <row r="463" spans="1:53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</row>
    <row r="464" spans="1:53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</row>
    <row r="465" spans="1:53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  <c r="AY465" s="10"/>
      <c r="AZ465" s="10"/>
      <c r="BA465" s="10"/>
    </row>
    <row r="466" spans="1:53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  <c r="AY466" s="10"/>
      <c r="AZ466" s="10"/>
      <c r="BA466" s="10"/>
    </row>
    <row r="467" spans="1:53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  <c r="AY467" s="10"/>
      <c r="AZ467" s="10"/>
      <c r="BA467" s="10"/>
    </row>
    <row r="468" spans="1:53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  <c r="AY468" s="10"/>
      <c r="AZ468" s="10"/>
      <c r="BA468" s="10"/>
    </row>
    <row r="469" spans="1:53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  <c r="BA469" s="10"/>
    </row>
    <row r="470" spans="1:53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  <c r="AY470" s="10"/>
      <c r="AZ470" s="10"/>
      <c r="BA470" s="10"/>
    </row>
    <row r="471" spans="1:53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  <c r="AY471" s="10"/>
      <c r="AZ471" s="10"/>
      <c r="BA471" s="10"/>
    </row>
    <row r="472" spans="1:53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  <c r="BA472" s="10"/>
    </row>
    <row r="473" spans="1:53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</row>
    <row r="474" spans="1:53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</row>
    <row r="475" spans="1:53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  <c r="BA475" s="10"/>
    </row>
    <row r="476" spans="1:53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  <c r="AY476" s="10"/>
      <c r="AZ476" s="10"/>
      <c r="BA476" s="10"/>
    </row>
    <row r="477" spans="1:53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  <c r="AY477" s="10"/>
      <c r="AZ477" s="10"/>
      <c r="BA477" s="10"/>
    </row>
    <row r="478" spans="1:53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  <c r="AY478" s="10"/>
      <c r="AZ478" s="10"/>
      <c r="BA478" s="10"/>
    </row>
    <row r="479" spans="1:53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  <c r="BA479" s="10"/>
    </row>
    <row r="480" spans="1:53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  <c r="AY480" s="10"/>
      <c r="AZ480" s="10"/>
      <c r="BA480" s="10"/>
    </row>
    <row r="481" spans="1:53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  <c r="BA481" s="10"/>
    </row>
    <row r="482" spans="1:53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  <c r="AY482" s="10"/>
      <c r="AZ482" s="10"/>
      <c r="BA482" s="10"/>
    </row>
    <row r="483" spans="1:53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  <c r="AY483" s="10"/>
      <c r="AZ483" s="10"/>
      <c r="BA483" s="10"/>
    </row>
    <row r="484" spans="1:53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</row>
    <row r="485" spans="1:53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  <c r="BA485" s="10"/>
    </row>
    <row r="486" spans="1:53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</row>
    <row r="487" spans="1:53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  <c r="BA487" s="10"/>
    </row>
    <row r="488" spans="1:53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  <c r="BA488" s="10"/>
    </row>
    <row r="489" spans="1:53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  <c r="BA489" s="10"/>
    </row>
    <row r="490" spans="1:53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  <c r="AY490" s="10"/>
      <c r="AZ490" s="10"/>
      <c r="BA490" s="10"/>
    </row>
    <row r="491" spans="1:53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</row>
    <row r="492" spans="1:53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</row>
    <row r="493" spans="1:53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</row>
    <row r="494" spans="1:53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  <c r="BA494" s="10"/>
    </row>
    <row r="495" spans="1:53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  <c r="AY495" s="10"/>
      <c r="AZ495" s="10"/>
      <c r="BA495" s="10"/>
    </row>
    <row r="496" spans="1:53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  <c r="AY496" s="10"/>
      <c r="AZ496" s="10"/>
      <c r="BA496" s="10"/>
    </row>
    <row r="497" spans="1:53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  <c r="AY497" s="10"/>
      <c r="AZ497" s="10"/>
      <c r="BA497" s="10"/>
    </row>
    <row r="498" spans="1:53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</row>
    <row r="499" spans="1:53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  <c r="BA499" s="10"/>
    </row>
    <row r="500" spans="1:53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  <c r="AY500" s="10"/>
      <c r="AZ500" s="10"/>
      <c r="BA500" s="10"/>
    </row>
    <row r="501" spans="1:53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  <c r="AY501" s="10"/>
      <c r="AZ501" s="10"/>
      <c r="BA501" s="10"/>
    </row>
    <row r="502" spans="1:53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</row>
    <row r="503" spans="1:53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</row>
    <row r="504" spans="1:53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  <c r="BA504" s="10"/>
    </row>
    <row r="505" spans="1:53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  <c r="AY505" s="10"/>
      <c r="AZ505" s="10"/>
      <c r="BA505" s="10"/>
    </row>
    <row r="506" spans="1:53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</row>
    <row r="507" spans="1:53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</row>
    <row r="508" spans="1:53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</row>
    <row r="509" spans="1:53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</row>
    <row r="510" spans="1:53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</row>
    <row r="511" spans="1:53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</row>
    <row r="512" spans="1:53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</row>
    <row r="513" spans="1:53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</row>
    <row r="514" spans="1:53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</row>
    <row r="515" spans="1:53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  <c r="BA515" s="10"/>
    </row>
    <row r="516" spans="1:53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</row>
    <row r="517" spans="1:53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</row>
    <row r="518" spans="1:53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  <c r="BA518" s="10"/>
    </row>
    <row r="519" spans="1:53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  <c r="AY519" s="10"/>
      <c r="AZ519" s="10"/>
      <c r="BA519" s="10"/>
    </row>
    <row r="520" spans="1:53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  <c r="AY520" s="10"/>
      <c r="AZ520" s="10"/>
      <c r="BA520" s="10"/>
    </row>
    <row r="521" spans="1:53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  <c r="AY521" s="10"/>
      <c r="AZ521" s="10"/>
      <c r="BA521" s="10"/>
    </row>
    <row r="522" spans="1:53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  <c r="AY522" s="10"/>
      <c r="AZ522" s="10"/>
      <c r="BA522" s="10"/>
    </row>
    <row r="523" spans="1:53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  <c r="BA523" s="10"/>
    </row>
    <row r="524" spans="1:53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  <c r="BA524" s="10"/>
    </row>
    <row r="525" spans="1:53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/>
      <c r="AZ525" s="10"/>
      <c r="BA525" s="10"/>
    </row>
    <row r="526" spans="1:53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/>
      <c r="AZ526" s="10"/>
      <c r="BA526" s="10"/>
    </row>
    <row r="527" spans="1:53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/>
      <c r="AZ527" s="10"/>
      <c r="BA527" s="10"/>
    </row>
    <row r="528" spans="1:53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/>
      <c r="AZ528" s="10"/>
      <c r="BA528" s="10"/>
    </row>
    <row r="529" spans="1:53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  <c r="BA529" s="10"/>
    </row>
    <row r="530" spans="1:53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/>
      <c r="AZ530" s="10"/>
      <c r="BA530" s="10"/>
    </row>
    <row r="531" spans="1:53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</row>
    <row r="532" spans="1:53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</row>
    <row r="533" spans="1:53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  <c r="BA533" s="10"/>
    </row>
    <row r="534" spans="1:53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</row>
    <row r="535" spans="1:53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</row>
    <row r="536" spans="1:53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</row>
    <row r="537" spans="1:53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</row>
    <row r="538" spans="1:53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</row>
    <row r="539" spans="1:53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</row>
    <row r="540" spans="1:53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  <c r="AY540" s="10"/>
      <c r="AZ540" s="10"/>
      <c r="BA540" s="10"/>
    </row>
    <row r="541" spans="1:53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  <c r="AY541" s="10"/>
      <c r="AZ541" s="10"/>
      <c r="BA541" s="10"/>
    </row>
    <row r="542" spans="1:53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/>
      <c r="AZ542" s="10"/>
      <c r="BA542" s="10"/>
    </row>
    <row r="543" spans="1:53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/>
      <c r="AZ543" s="10"/>
      <c r="BA543" s="10"/>
    </row>
    <row r="544" spans="1:53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  <c r="BA544" s="10"/>
    </row>
    <row r="545" spans="1:53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/>
      <c r="AZ545" s="10"/>
      <c r="BA545" s="10"/>
    </row>
    <row r="546" spans="1:53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/>
      <c r="AZ546" s="10"/>
      <c r="BA546" s="10"/>
    </row>
    <row r="547" spans="1:53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  <c r="AY547" s="10"/>
      <c r="AZ547" s="10"/>
      <c r="BA547" s="10"/>
    </row>
    <row r="548" spans="1:53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/>
      <c r="AZ548" s="10"/>
      <c r="BA548" s="10"/>
    </row>
    <row r="549" spans="1:53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  <c r="BA549" s="10"/>
    </row>
    <row r="550" spans="1:53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  <c r="AY550" s="10"/>
      <c r="AZ550" s="10"/>
      <c r="BA550" s="10"/>
    </row>
    <row r="551" spans="1:53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/>
      <c r="AZ551" s="10"/>
      <c r="BA551" s="10"/>
    </row>
    <row r="552" spans="1:53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  <c r="AY552" s="10"/>
      <c r="AZ552" s="10"/>
      <c r="BA552" s="10"/>
    </row>
    <row r="553" spans="1:53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  <c r="AY553" s="10"/>
      <c r="AZ553" s="10"/>
      <c r="BA553" s="10"/>
    </row>
    <row r="554" spans="1:53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  <c r="BA554" s="10"/>
    </row>
    <row r="555" spans="1:53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/>
      <c r="AZ555" s="10"/>
      <c r="BA555" s="10"/>
    </row>
    <row r="556" spans="1:53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/>
      <c r="AZ556" s="10"/>
      <c r="BA556" s="10"/>
    </row>
    <row r="557" spans="1:53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/>
      <c r="AZ557" s="10"/>
      <c r="BA557" s="10"/>
    </row>
    <row r="558" spans="1:53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/>
      <c r="AZ558" s="10"/>
      <c r="BA558" s="10"/>
    </row>
    <row r="559" spans="1:53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  <c r="BA559" s="10"/>
    </row>
    <row r="560" spans="1:53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/>
      <c r="AZ560" s="10"/>
      <c r="BA560" s="10"/>
    </row>
    <row r="561" spans="1:53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/>
      <c r="AZ561" s="10"/>
      <c r="BA561" s="10"/>
    </row>
    <row r="562" spans="1:53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  <c r="AY562" s="10"/>
      <c r="AZ562" s="10"/>
      <c r="BA562" s="10"/>
    </row>
    <row r="563" spans="1:53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  <c r="AY563" s="10"/>
      <c r="AZ563" s="10"/>
      <c r="BA563" s="10"/>
    </row>
    <row r="564" spans="1:53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  <c r="BA564" s="10"/>
    </row>
    <row r="565" spans="1:53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  <c r="AY565" s="10"/>
      <c r="AZ565" s="10"/>
      <c r="BA565" s="10"/>
    </row>
    <row r="566" spans="1:53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  <c r="AY566" s="10"/>
      <c r="AZ566" s="10"/>
      <c r="BA566" s="10"/>
    </row>
    <row r="567" spans="1:53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  <c r="AY567" s="10"/>
      <c r="AZ567" s="10"/>
      <c r="BA567" s="10"/>
    </row>
    <row r="568" spans="1:53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  <c r="AY568" s="10"/>
      <c r="AZ568" s="10"/>
      <c r="BA568" s="10"/>
    </row>
    <row r="569" spans="1:53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  <c r="BA569" s="10"/>
    </row>
    <row r="570" spans="1:53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  <c r="AY570" s="10"/>
      <c r="AZ570" s="10"/>
      <c r="BA570" s="10"/>
    </row>
    <row r="571" spans="1:53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  <c r="AY571" s="10"/>
      <c r="AZ571" s="10"/>
      <c r="BA571" s="10"/>
    </row>
    <row r="572" spans="1:53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  <c r="AY572" s="10"/>
      <c r="AZ572" s="10"/>
      <c r="BA572" s="10"/>
    </row>
    <row r="573" spans="1:53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  <c r="AY573" s="10"/>
      <c r="AZ573" s="10"/>
      <c r="BA573" s="10"/>
    </row>
    <row r="574" spans="1:53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  <c r="BA574" s="10"/>
    </row>
    <row r="575" spans="1:53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  <c r="AY575" s="10"/>
      <c r="AZ575" s="10"/>
      <c r="BA575" s="10"/>
    </row>
    <row r="576" spans="1:53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  <c r="AY576" s="10"/>
      <c r="AZ576" s="10"/>
      <c r="BA576" s="10"/>
    </row>
    <row r="577" spans="1:53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  <c r="AY577" s="10"/>
      <c r="AZ577" s="10"/>
      <c r="BA577" s="10"/>
    </row>
    <row r="578" spans="1:53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  <c r="AY578" s="10"/>
      <c r="AZ578" s="10"/>
      <c r="BA578" s="10"/>
    </row>
    <row r="579" spans="1:53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  <c r="BA579" s="10"/>
    </row>
    <row r="580" spans="1:53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  <c r="AY580" s="10"/>
      <c r="AZ580" s="10"/>
      <c r="BA580" s="10"/>
    </row>
    <row r="581" spans="1:53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  <c r="AY581" s="10"/>
      <c r="AZ581" s="10"/>
      <c r="BA581" s="10"/>
    </row>
    <row r="582" spans="1:53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  <c r="AY582" s="10"/>
      <c r="AZ582" s="10"/>
      <c r="BA582" s="10"/>
    </row>
    <row r="583" spans="1:53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</row>
    <row r="584" spans="1:53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  <c r="BA584" s="10"/>
    </row>
    <row r="585" spans="1:53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  <c r="AY585" s="10"/>
      <c r="AZ585" s="10"/>
      <c r="BA585" s="10"/>
    </row>
    <row r="586" spans="1:53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  <c r="AY586" s="10"/>
      <c r="AZ586" s="10"/>
      <c r="BA586" s="10"/>
    </row>
    <row r="587" spans="1:53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  <c r="AY587" s="10"/>
      <c r="AZ587" s="10"/>
      <c r="BA587" s="10"/>
    </row>
    <row r="588" spans="1:53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  <c r="AY588" s="10"/>
      <c r="AZ588" s="10"/>
      <c r="BA588" s="10"/>
    </row>
    <row r="589" spans="1:53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  <c r="BA589" s="10"/>
    </row>
    <row r="590" spans="1:53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  <c r="AY590" s="10"/>
      <c r="AZ590" s="10"/>
      <c r="BA590" s="10"/>
    </row>
    <row r="591" spans="1:53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  <c r="AY591" s="10"/>
      <c r="AZ591" s="10"/>
      <c r="BA591" s="10"/>
    </row>
    <row r="592" spans="1:53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  <c r="AY592" s="10"/>
      <c r="AZ592" s="10"/>
      <c r="BA592" s="10"/>
    </row>
    <row r="593" spans="1:53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  <c r="AY593" s="10"/>
      <c r="AZ593" s="10"/>
      <c r="BA593" s="10"/>
    </row>
    <row r="594" spans="1:53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  <c r="BA594" s="10"/>
    </row>
    <row r="595" spans="1:53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  <c r="AY595" s="10"/>
      <c r="AZ595" s="10"/>
      <c r="BA595" s="10"/>
    </row>
    <row r="596" spans="1:53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  <c r="AY596" s="10"/>
      <c r="AZ596" s="10"/>
      <c r="BA596" s="10"/>
    </row>
    <row r="597" spans="1:53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  <c r="AY597" s="10"/>
      <c r="AZ597" s="10"/>
      <c r="BA597" s="10"/>
    </row>
    <row r="598" spans="1:53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  <c r="AY598" s="10"/>
      <c r="AZ598" s="10"/>
      <c r="BA598" s="10"/>
    </row>
    <row r="599" spans="1:53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  <c r="BA599" s="10"/>
    </row>
    <row r="600" spans="1:53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  <c r="AY600" s="10"/>
      <c r="AZ600" s="10"/>
      <c r="BA600" s="10"/>
    </row>
    <row r="601" spans="1:53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  <c r="AY601" s="10"/>
      <c r="AZ601" s="10"/>
      <c r="BA601" s="10"/>
    </row>
    <row r="602" spans="1:53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  <c r="AY602" s="10"/>
      <c r="AZ602" s="10"/>
      <c r="BA602" s="10"/>
    </row>
    <row r="603" spans="1:53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  <c r="AY603" s="10"/>
      <c r="AZ603" s="10"/>
      <c r="BA603" s="10"/>
    </row>
    <row r="604" spans="1:53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</row>
    <row r="605" spans="1:53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  <c r="AY605" s="10"/>
      <c r="AZ605" s="10"/>
      <c r="BA605" s="10"/>
    </row>
    <row r="606" spans="1:53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  <c r="AY606" s="10"/>
      <c r="AZ606" s="10"/>
      <c r="BA606" s="10"/>
    </row>
    <row r="607" spans="1:53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</row>
    <row r="608" spans="1:53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  <c r="AY608" s="10"/>
      <c r="AZ608" s="10"/>
      <c r="BA608" s="10"/>
    </row>
    <row r="609" spans="1:53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  <c r="AY609" s="10"/>
      <c r="AZ609" s="10"/>
      <c r="BA609" s="10"/>
    </row>
    <row r="610" spans="1:53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  <c r="AY610" s="10"/>
      <c r="AZ610" s="10"/>
      <c r="BA610" s="10"/>
    </row>
    <row r="611" spans="1:53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  <c r="AY611" s="10"/>
      <c r="AZ611" s="10"/>
      <c r="BA611" s="10"/>
    </row>
    <row r="612" spans="1:53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  <c r="AY612" s="10"/>
      <c r="AZ612" s="10"/>
      <c r="BA612" s="10"/>
    </row>
    <row r="613" spans="1:53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  <c r="AY613" s="10"/>
      <c r="AZ613" s="10"/>
      <c r="BA613" s="10"/>
    </row>
    <row r="614" spans="1:53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  <c r="BA614" s="10"/>
    </row>
    <row r="615" spans="1:53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  <c r="AY615" s="10"/>
      <c r="AZ615" s="10"/>
      <c r="BA615" s="10"/>
    </row>
    <row r="616" spans="1:53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  <c r="AY616" s="10"/>
      <c r="AZ616" s="10"/>
      <c r="BA616" s="10"/>
    </row>
    <row r="617" spans="1:53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  <c r="AY617" s="10"/>
      <c r="AZ617" s="10"/>
      <c r="BA617" s="10"/>
    </row>
    <row r="618" spans="1:53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  <c r="AY618" s="10"/>
      <c r="AZ618" s="10"/>
      <c r="BA618" s="10"/>
    </row>
    <row r="619" spans="1:53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  <c r="AY619" s="10"/>
      <c r="AZ619" s="10"/>
      <c r="BA619" s="10"/>
    </row>
    <row r="620" spans="1:53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  <c r="AY620" s="10"/>
      <c r="AZ620" s="10"/>
      <c r="BA620" s="10"/>
    </row>
    <row r="621" spans="1:53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  <c r="AY621" s="10"/>
      <c r="AZ621" s="10"/>
      <c r="BA621" s="10"/>
    </row>
    <row r="622" spans="1:53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  <c r="AY622" s="10"/>
      <c r="AZ622" s="10"/>
      <c r="BA622" s="10"/>
    </row>
    <row r="623" spans="1:53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  <c r="AY623" s="10"/>
      <c r="AZ623" s="10"/>
      <c r="BA623" s="10"/>
    </row>
    <row r="624" spans="1:53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  <c r="AY624" s="10"/>
      <c r="AZ624" s="10"/>
      <c r="BA624" s="10"/>
    </row>
    <row r="625" spans="1:53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  <c r="AY625" s="10"/>
      <c r="AZ625" s="10"/>
      <c r="BA625" s="10"/>
    </row>
    <row r="626" spans="1:53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  <c r="AY626" s="10"/>
      <c r="AZ626" s="10"/>
      <c r="BA626" s="10"/>
    </row>
    <row r="627" spans="1:53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  <c r="AY627" s="10"/>
      <c r="AZ627" s="10"/>
      <c r="BA627" s="10"/>
    </row>
    <row r="628" spans="1:53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10"/>
      <c r="BA628" s="10"/>
    </row>
    <row r="629" spans="1:53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  <c r="AY629" s="10"/>
      <c r="AZ629" s="10"/>
      <c r="BA629" s="10"/>
    </row>
    <row r="630" spans="1:53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  <c r="AY630" s="10"/>
      <c r="AZ630" s="10"/>
      <c r="BA630" s="10"/>
    </row>
    <row r="631" spans="1:53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  <c r="AY631" s="10"/>
      <c r="AZ631" s="10"/>
      <c r="BA631" s="10"/>
    </row>
    <row r="632" spans="1:53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0"/>
      <c r="BA632" s="10"/>
    </row>
    <row r="633" spans="1:53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  <c r="AY633" s="10"/>
      <c r="AZ633" s="10"/>
      <c r="BA633" s="10"/>
    </row>
    <row r="634" spans="1:53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  <c r="AY634" s="10"/>
      <c r="AZ634" s="10"/>
      <c r="BA634" s="10"/>
    </row>
    <row r="635" spans="1:53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  <c r="AY635" s="10"/>
      <c r="AZ635" s="10"/>
      <c r="BA635" s="10"/>
    </row>
    <row r="636" spans="1:53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  <c r="AY636" s="10"/>
      <c r="AZ636" s="10"/>
      <c r="BA636" s="10"/>
    </row>
    <row r="637" spans="1:53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  <c r="AY637" s="10"/>
      <c r="AZ637" s="10"/>
      <c r="BA637" s="10"/>
    </row>
    <row r="638" spans="1:53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  <c r="BA638" s="10"/>
    </row>
    <row r="639" spans="1:53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  <c r="AY639" s="10"/>
      <c r="AZ639" s="10"/>
      <c r="BA639" s="10"/>
    </row>
    <row r="640" spans="1:53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  <c r="AY640" s="10"/>
      <c r="AZ640" s="10"/>
      <c r="BA640" s="10"/>
    </row>
    <row r="641" spans="1:53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  <c r="AY641" s="10"/>
      <c r="AZ641" s="10"/>
      <c r="BA641" s="10"/>
    </row>
    <row r="642" spans="1:53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  <c r="AY642" s="10"/>
      <c r="AZ642" s="10"/>
      <c r="BA642" s="10"/>
    </row>
    <row r="643" spans="1:53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  <c r="AY643" s="10"/>
      <c r="AZ643" s="10"/>
      <c r="BA643" s="10"/>
    </row>
    <row r="644" spans="1:53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  <c r="AY644" s="10"/>
      <c r="AZ644" s="10"/>
      <c r="BA644" s="10"/>
    </row>
    <row r="645" spans="1:53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  <c r="AY645" s="10"/>
      <c r="AZ645" s="10"/>
      <c r="BA645" s="10"/>
    </row>
    <row r="646" spans="1:53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  <c r="AY646" s="10"/>
      <c r="AZ646" s="10"/>
      <c r="BA646" s="10"/>
    </row>
    <row r="647" spans="1:53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  <c r="AY647" s="10"/>
      <c r="AZ647" s="10"/>
      <c r="BA647" s="10"/>
    </row>
    <row r="648" spans="1:53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  <c r="AY648" s="10"/>
      <c r="AZ648" s="10"/>
      <c r="BA648" s="10"/>
    </row>
    <row r="649" spans="1:53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  <c r="AY649" s="10"/>
      <c r="AZ649" s="10"/>
      <c r="BA649" s="10"/>
    </row>
    <row r="650" spans="1:53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  <c r="AY650" s="10"/>
      <c r="AZ650" s="10"/>
      <c r="BA650" s="10"/>
    </row>
    <row r="651" spans="1:53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  <c r="AY651" s="10"/>
      <c r="AZ651" s="10"/>
      <c r="BA651" s="10"/>
    </row>
    <row r="652" spans="1:53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  <c r="AY652" s="10"/>
      <c r="AZ652" s="10"/>
      <c r="BA652" s="10"/>
    </row>
    <row r="653" spans="1:53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  <c r="AY653" s="10"/>
      <c r="AZ653" s="10"/>
      <c r="BA653" s="10"/>
    </row>
    <row r="654" spans="1:53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  <c r="AY654" s="10"/>
      <c r="AZ654" s="10"/>
      <c r="BA654" s="10"/>
    </row>
    <row r="655" spans="1:53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  <c r="AY655" s="10"/>
      <c r="AZ655" s="10"/>
      <c r="BA655" s="10"/>
    </row>
    <row r="656" spans="1:53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  <c r="AY656" s="10"/>
      <c r="AZ656" s="10"/>
      <c r="BA656" s="10"/>
    </row>
    <row r="657" spans="1:53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  <c r="AY657" s="10"/>
      <c r="AZ657" s="10"/>
      <c r="BA657" s="10"/>
    </row>
    <row r="658" spans="1:53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  <c r="AY658" s="10"/>
      <c r="AZ658" s="10"/>
      <c r="BA658" s="10"/>
    </row>
    <row r="659" spans="1:53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  <c r="AY659" s="10"/>
      <c r="AZ659" s="10"/>
      <c r="BA659" s="10"/>
    </row>
    <row r="660" spans="1:53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  <c r="AY660" s="10"/>
      <c r="AZ660" s="10"/>
      <c r="BA660" s="10"/>
    </row>
    <row r="661" spans="1:53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  <c r="AY661" s="10"/>
      <c r="AZ661" s="10"/>
      <c r="BA661" s="10"/>
    </row>
    <row r="662" spans="1:53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  <c r="AY662" s="10"/>
      <c r="AZ662" s="10"/>
      <c r="BA662" s="10"/>
    </row>
    <row r="663" spans="1:53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  <c r="AY663" s="10"/>
      <c r="AZ663" s="10"/>
      <c r="BA663" s="10"/>
    </row>
    <row r="664" spans="1:53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  <c r="AY664" s="10"/>
      <c r="AZ664" s="10"/>
      <c r="BA664" s="10"/>
    </row>
    <row r="665" spans="1:53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  <c r="AY665" s="10"/>
      <c r="AZ665" s="10"/>
      <c r="BA665" s="10"/>
    </row>
    <row r="666" spans="1:53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  <c r="AY666" s="10"/>
      <c r="AZ666" s="10"/>
      <c r="BA666" s="10"/>
    </row>
    <row r="667" spans="1:53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  <c r="AY667" s="10"/>
      <c r="AZ667" s="10"/>
      <c r="BA667" s="10"/>
    </row>
    <row r="668" spans="1:53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  <c r="AY668" s="10"/>
      <c r="AZ668" s="10"/>
      <c r="BA668" s="10"/>
    </row>
    <row r="669" spans="1:53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  <c r="AY669" s="10"/>
      <c r="AZ669" s="10"/>
      <c r="BA669" s="10"/>
    </row>
    <row r="670" spans="1:53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  <c r="AY670" s="10"/>
      <c r="AZ670" s="10"/>
      <c r="BA670" s="10"/>
    </row>
    <row r="671" spans="1:53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  <c r="AY671" s="10"/>
      <c r="AZ671" s="10"/>
      <c r="BA671" s="10"/>
    </row>
    <row r="672" spans="1:53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  <c r="AY672" s="10"/>
      <c r="AZ672" s="10"/>
      <c r="BA672" s="10"/>
    </row>
    <row r="673" spans="1:53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  <c r="AY673" s="10"/>
      <c r="AZ673" s="10"/>
      <c r="BA673" s="10"/>
    </row>
    <row r="674" spans="1:53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  <c r="AY674" s="10"/>
      <c r="AZ674" s="10"/>
      <c r="BA674" s="10"/>
    </row>
    <row r="675" spans="1:53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  <c r="AY675" s="10"/>
      <c r="AZ675" s="10"/>
      <c r="BA675" s="10"/>
    </row>
    <row r="676" spans="1:53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  <c r="AY676" s="10"/>
      <c r="AZ676" s="10"/>
      <c r="BA676" s="10"/>
    </row>
    <row r="677" spans="1:53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  <c r="AY677" s="10"/>
      <c r="AZ677" s="10"/>
      <c r="BA677" s="10"/>
    </row>
    <row r="678" spans="1:53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  <c r="AY678" s="10"/>
      <c r="AZ678" s="10"/>
      <c r="BA678" s="10"/>
    </row>
    <row r="679" spans="1:53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  <c r="AY679" s="10"/>
      <c r="AZ679" s="10"/>
      <c r="BA679" s="10"/>
    </row>
    <row r="680" spans="1:53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  <c r="AY680" s="10"/>
      <c r="AZ680" s="10"/>
      <c r="BA680" s="10"/>
    </row>
    <row r="681" spans="1:53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  <c r="AY681" s="10"/>
      <c r="AZ681" s="10"/>
      <c r="BA681" s="10"/>
    </row>
    <row r="682" spans="1:53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  <c r="AY682" s="10"/>
      <c r="AZ682" s="10"/>
      <c r="BA682" s="10"/>
    </row>
    <row r="683" spans="1:53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  <c r="AY683" s="10"/>
      <c r="AZ683" s="10"/>
      <c r="BA683" s="10"/>
    </row>
    <row r="684" spans="1:53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  <c r="AY684" s="10"/>
      <c r="AZ684" s="10"/>
      <c r="BA684" s="10"/>
    </row>
    <row r="685" spans="1:53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  <c r="AY685" s="10"/>
      <c r="AZ685" s="10"/>
      <c r="BA685" s="10"/>
    </row>
    <row r="686" spans="1:53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  <c r="AY686" s="10"/>
      <c r="AZ686" s="10"/>
      <c r="BA686" s="10"/>
    </row>
    <row r="687" spans="1:53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  <c r="AY687" s="10"/>
      <c r="AZ687" s="10"/>
      <c r="BA687" s="10"/>
    </row>
    <row r="688" spans="1:53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  <c r="AY688" s="10"/>
      <c r="AZ688" s="10"/>
      <c r="BA688" s="10"/>
    </row>
    <row r="689" spans="1:53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  <c r="AY689" s="10"/>
      <c r="AZ689" s="10"/>
      <c r="BA689" s="10"/>
    </row>
    <row r="690" spans="1:53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  <c r="AY690" s="10"/>
      <c r="AZ690" s="10"/>
      <c r="BA690" s="10"/>
    </row>
    <row r="691" spans="1:53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  <c r="AY691" s="10"/>
      <c r="AZ691" s="10"/>
      <c r="BA691" s="10"/>
    </row>
    <row r="692" spans="1:53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  <c r="AY692" s="10"/>
      <c r="AZ692" s="10"/>
      <c r="BA692" s="10"/>
    </row>
    <row r="693" spans="1:53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  <c r="AY693" s="10"/>
      <c r="AZ693" s="10"/>
      <c r="BA693" s="10"/>
    </row>
    <row r="694" spans="1:53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  <c r="AY694" s="10"/>
      <c r="AZ694" s="10"/>
      <c r="BA694" s="10"/>
    </row>
    <row r="695" spans="1:53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  <c r="AY695" s="10"/>
      <c r="AZ695" s="10"/>
      <c r="BA695" s="10"/>
    </row>
    <row r="696" spans="1:53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  <c r="AY696" s="10"/>
      <c r="AZ696" s="10"/>
      <c r="BA696" s="10"/>
    </row>
    <row r="697" spans="1:53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  <c r="AY697" s="10"/>
      <c r="AZ697" s="10"/>
      <c r="BA697" s="10"/>
    </row>
    <row r="698" spans="1:53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  <c r="AY698" s="10"/>
      <c r="AZ698" s="10"/>
      <c r="BA698" s="10"/>
    </row>
    <row r="699" spans="1:53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  <c r="AY699" s="10"/>
      <c r="AZ699" s="10"/>
      <c r="BA699" s="10"/>
    </row>
    <row r="700" spans="1:53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  <c r="AY700" s="10"/>
      <c r="AZ700" s="10"/>
      <c r="BA700" s="10"/>
    </row>
    <row r="701" spans="1:53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  <c r="AY701" s="10"/>
      <c r="AZ701" s="10"/>
      <c r="BA701" s="10"/>
    </row>
    <row r="702" spans="1:53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  <c r="AY702" s="10"/>
      <c r="AZ702" s="10"/>
      <c r="BA702" s="10"/>
    </row>
    <row r="703" spans="1:53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  <c r="AY703" s="10"/>
      <c r="AZ703" s="10"/>
      <c r="BA703" s="10"/>
    </row>
    <row r="704" spans="1:53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  <c r="AY704" s="10"/>
      <c r="AZ704" s="10"/>
      <c r="BA704" s="10"/>
    </row>
    <row r="705" spans="1:53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  <c r="AY705" s="10"/>
      <c r="AZ705" s="10"/>
      <c r="BA705" s="10"/>
    </row>
    <row r="706" spans="1:53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  <c r="AY706" s="10"/>
      <c r="AZ706" s="10"/>
      <c r="BA706" s="10"/>
    </row>
    <row r="707" spans="1:53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  <c r="AY707" s="10"/>
      <c r="AZ707" s="10"/>
      <c r="BA707" s="10"/>
    </row>
    <row r="708" spans="1:53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  <c r="AY708" s="10"/>
      <c r="AZ708" s="10"/>
      <c r="BA708" s="10"/>
    </row>
    <row r="709" spans="1:53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  <c r="AY709" s="10"/>
      <c r="AZ709" s="10"/>
      <c r="BA709" s="10"/>
    </row>
    <row r="710" spans="1:53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  <c r="AY710" s="10"/>
      <c r="AZ710" s="10"/>
      <c r="BA710" s="10"/>
    </row>
    <row r="711" spans="1:53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  <c r="AY711" s="10"/>
      <c r="AZ711" s="10"/>
      <c r="BA711" s="10"/>
    </row>
    <row r="712" spans="1:53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  <c r="AY712" s="10"/>
      <c r="AZ712" s="10"/>
      <c r="BA712" s="10"/>
    </row>
    <row r="713" spans="1:53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  <c r="AY713" s="10"/>
      <c r="AZ713" s="10"/>
      <c r="BA713" s="10"/>
    </row>
    <row r="714" spans="1:53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  <c r="AY714" s="10"/>
      <c r="AZ714" s="10"/>
      <c r="BA714" s="10"/>
    </row>
    <row r="715" spans="1:53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  <c r="AY715" s="10"/>
      <c r="AZ715" s="10"/>
      <c r="BA715" s="10"/>
    </row>
    <row r="716" spans="1:53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  <c r="AY716" s="10"/>
      <c r="AZ716" s="10"/>
      <c r="BA716" s="10"/>
    </row>
    <row r="717" spans="1:53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  <c r="AY717" s="10"/>
      <c r="AZ717" s="10"/>
      <c r="BA717" s="10"/>
    </row>
    <row r="718" spans="1:53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  <c r="AY718" s="10"/>
      <c r="AZ718" s="10"/>
      <c r="BA718" s="10"/>
    </row>
    <row r="719" spans="1:53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  <c r="AY719" s="10"/>
      <c r="AZ719" s="10"/>
      <c r="BA719" s="10"/>
    </row>
    <row r="720" spans="1:53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  <c r="AY720" s="10"/>
      <c r="AZ720" s="10"/>
      <c r="BA720" s="10"/>
    </row>
    <row r="721" spans="1:53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  <c r="AY721" s="10"/>
      <c r="AZ721" s="10"/>
      <c r="BA721" s="10"/>
    </row>
    <row r="722" spans="1:53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  <c r="AY722" s="10"/>
      <c r="AZ722" s="10"/>
      <c r="BA722" s="10"/>
    </row>
    <row r="723" spans="1:53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  <c r="AY723" s="10"/>
      <c r="AZ723" s="10"/>
      <c r="BA723" s="10"/>
    </row>
    <row r="724" spans="1:53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  <c r="AY724" s="10"/>
      <c r="AZ724" s="10"/>
      <c r="BA724" s="10"/>
    </row>
    <row r="725" spans="1:53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  <c r="AY725" s="10"/>
      <c r="AZ725" s="10"/>
      <c r="BA725" s="10"/>
    </row>
    <row r="726" spans="1:53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  <c r="AY726" s="10"/>
      <c r="AZ726" s="10"/>
      <c r="BA726" s="10"/>
    </row>
    <row r="727" spans="1:53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  <c r="AY727" s="10"/>
      <c r="AZ727" s="10"/>
      <c r="BA727" s="10"/>
    </row>
    <row r="728" spans="1:53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  <c r="AY728" s="10"/>
      <c r="AZ728" s="10"/>
      <c r="BA728" s="10"/>
    </row>
    <row r="729" spans="1:53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  <c r="AY729" s="10"/>
      <c r="AZ729" s="10"/>
      <c r="BA729" s="10"/>
    </row>
    <row r="730" spans="1:53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  <c r="AY730" s="10"/>
      <c r="AZ730" s="10"/>
      <c r="BA730" s="10"/>
    </row>
    <row r="731" spans="1:53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  <c r="AY731" s="10"/>
      <c r="AZ731" s="10"/>
      <c r="BA731" s="10"/>
    </row>
    <row r="732" spans="1:53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  <c r="AY732" s="10"/>
      <c r="AZ732" s="10"/>
      <c r="BA732" s="10"/>
    </row>
    <row r="733" spans="1:53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  <c r="AY733" s="10"/>
      <c r="AZ733" s="10"/>
      <c r="BA733" s="10"/>
    </row>
    <row r="734" spans="1:53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  <c r="AY734" s="10"/>
      <c r="AZ734" s="10"/>
      <c r="BA734" s="10"/>
    </row>
    <row r="735" spans="1:53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  <c r="AY735" s="10"/>
      <c r="AZ735" s="10"/>
      <c r="BA735" s="10"/>
    </row>
    <row r="736" spans="1:53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  <c r="AY736" s="10"/>
      <c r="AZ736" s="10"/>
      <c r="BA736" s="10"/>
    </row>
    <row r="737" spans="1:53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  <c r="AY737" s="10"/>
      <c r="AZ737" s="10"/>
      <c r="BA737" s="10"/>
    </row>
    <row r="738" spans="1:53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  <c r="AY738" s="10"/>
      <c r="AZ738" s="10"/>
      <c r="BA738" s="10"/>
    </row>
    <row r="739" spans="1:53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  <c r="AY739" s="10"/>
      <c r="AZ739" s="10"/>
      <c r="BA739" s="10"/>
    </row>
    <row r="740" spans="1:53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  <c r="AY740" s="10"/>
      <c r="AZ740" s="10"/>
      <c r="BA740" s="10"/>
    </row>
    <row r="741" spans="1:53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  <c r="AY741" s="10"/>
      <c r="AZ741" s="10"/>
      <c r="BA741" s="10"/>
    </row>
    <row r="742" spans="1:53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  <c r="AY742" s="10"/>
      <c r="AZ742" s="10"/>
      <c r="BA742" s="10"/>
    </row>
    <row r="743" spans="1:53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  <c r="AY743" s="10"/>
      <c r="AZ743" s="10"/>
      <c r="BA743" s="10"/>
    </row>
    <row r="744" spans="1:53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  <c r="AY744" s="10"/>
      <c r="AZ744" s="10"/>
      <c r="BA744" s="10"/>
    </row>
    <row r="745" spans="1:53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  <c r="AY745" s="10"/>
      <c r="AZ745" s="10"/>
      <c r="BA745" s="10"/>
    </row>
    <row r="746" spans="1:53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  <c r="AY746" s="10"/>
      <c r="AZ746" s="10"/>
      <c r="BA746" s="10"/>
    </row>
    <row r="747" spans="1:53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  <c r="AY747" s="10"/>
      <c r="AZ747" s="10"/>
      <c r="BA747" s="10"/>
    </row>
    <row r="748" spans="1:53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  <c r="AY748" s="10"/>
      <c r="AZ748" s="10"/>
      <c r="BA748" s="10"/>
    </row>
    <row r="749" spans="1:53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  <c r="AY749" s="10"/>
      <c r="AZ749" s="10"/>
      <c r="BA749" s="10"/>
    </row>
    <row r="750" spans="1:53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  <c r="AY750" s="10"/>
      <c r="AZ750" s="10"/>
      <c r="BA750" s="10"/>
    </row>
    <row r="751" spans="1:53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  <c r="AY751" s="10"/>
      <c r="AZ751" s="10"/>
      <c r="BA751" s="10"/>
    </row>
    <row r="752" spans="1:53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  <c r="AY752" s="10"/>
      <c r="AZ752" s="10"/>
      <c r="BA752" s="10"/>
    </row>
    <row r="753" spans="1:53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  <c r="AY753" s="10"/>
      <c r="AZ753" s="10"/>
      <c r="BA753" s="10"/>
    </row>
    <row r="754" spans="1:53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  <c r="AY754" s="10"/>
      <c r="AZ754" s="10"/>
      <c r="BA754" s="10"/>
    </row>
    <row r="755" spans="1:53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  <c r="AY755" s="10"/>
      <c r="AZ755" s="10"/>
      <c r="BA755" s="10"/>
    </row>
    <row r="756" spans="1:53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  <c r="AY756" s="10"/>
      <c r="AZ756" s="10"/>
      <c r="BA756" s="10"/>
    </row>
    <row r="757" spans="1:53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  <c r="AY757" s="10"/>
      <c r="AZ757" s="10"/>
      <c r="BA757" s="10"/>
    </row>
    <row r="758" spans="1:53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  <c r="AY758" s="10"/>
      <c r="AZ758" s="10"/>
      <c r="BA758" s="10"/>
    </row>
    <row r="759" spans="1:53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  <c r="AY759" s="10"/>
      <c r="AZ759" s="10"/>
      <c r="BA759" s="10"/>
    </row>
    <row r="760" spans="1:53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  <c r="AY760" s="10"/>
      <c r="AZ760" s="10"/>
      <c r="BA760" s="10"/>
    </row>
    <row r="761" spans="1:53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  <c r="AY761" s="10"/>
      <c r="AZ761" s="10"/>
      <c r="BA761" s="10"/>
    </row>
    <row r="762" spans="1:53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  <c r="AY762" s="10"/>
      <c r="AZ762" s="10"/>
      <c r="BA762" s="10"/>
    </row>
    <row r="763" spans="1:53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  <c r="AY763" s="10"/>
      <c r="AZ763" s="10"/>
      <c r="BA763" s="10"/>
    </row>
    <row r="764" spans="1:53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  <c r="AY764" s="10"/>
      <c r="AZ764" s="10"/>
      <c r="BA764" s="10"/>
    </row>
    <row r="765" spans="1:53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  <c r="AY765" s="10"/>
      <c r="AZ765" s="10"/>
      <c r="BA765" s="10"/>
    </row>
    <row r="766" spans="1:53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  <c r="AY766" s="10"/>
      <c r="AZ766" s="10"/>
      <c r="BA766" s="10"/>
    </row>
    <row r="767" spans="1:53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  <c r="AY767" s="10"/>
      <c r="AZ767" s="10"/>
      <c r="BA767" s="10"/>
    </row>
    <row r="768" spans="1:53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  <c r="AY768" s="10"/>
      <c r="AZ768" s="10"/>
      <c r="BA768" s="10"/>
    </row>
    <row r="769" spans="1:53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  <c r="AY769" s="10"/>
      <c r="AZ769" s="10"/>
      <c r="BA769" s="10"/>
    </row>
    <row r="770" spans="1:53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  <c r="AY770" s="10"/>
      <c r="AZ770" s="10"/>
      <c r="BA770" s="10"/>
    </row>
    <row r="771" spans="1:53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  <c r="AY771" s="10"/>
      <c r="AZ771" s="10"/>
      <c r="BA771" s="10"/>
    </row>
    <row r="772" spans="1:53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  <c r="AY772" s="10"/>
      <c r="AZ772" s="10"/>
      <c r="BA772" s="10"/>
    </row>
    <row r="773" spans="1:53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  <c r="AY773" s="10"/>
      <c r="AZ773" s="10"/>
      <c r="BA773" s="10"/>
    </row>
    <row r="774" spans="1:53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  <c r="AY774" s="10"/>
      <c r="AZ774" s="10"/>
      <c r="BA774" s="10"/>
    </row>
    <row r="775" spans="1:53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  <c r="AY775" s="10"/>
      <c r="AZ775" s="10"/>
      <c r="BA775" s="10"/>
    </row>
    <row r="776" spans="1:53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  <c r="AY776" s="10"/>
      <c r="AZ776" s="10"/>
      <c r="BA776" s="10"/>
    </row>
    <row r="777" spans="1:53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  <c r="AY777" s="10"/>
      <c r="AZ777" s="10"/>
      <c r="BA777" s="10"/>
    </row>
    <row r="778" spans="1:53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  <c r="AY778" s="10"/>
      <c r="AZ778" s="10"/>
      <c r="BA778" s="10"/>
    </row>
    <row r="779" spans="1:53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  <c r="AY779" s="10"/>
      <c r="AZ779" s="10"/>
      <c r="BA779" s="10"/>
    </row>
    <row r="780" spans="1:53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  <c r="AY780" s="10"/>
      <c r="AZ780" s="10"/>
      <c r="BA780" s="10"/>
    </row>
    <row r="781" spans="1:53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  <c r="AY781" s="10"/>
      <c r="AZ781" s="10"/>
      <c r="BA781" s="10"/>
    </row>
    <row r="782" spans="1:53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  <c r="AY782" s="10"/>
      <c r="AZ782" s="10"/>
      <c r="BA782" s="10"/>
    </row>
    <row r="783" spans="1:53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  <c r="AY783" s="10"/>
      <c r="AZ783" s="10"/>
      <c r="BA783" s="10"/>
    </row>
    <row r="784" spans="1:53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  <c r="AY784" s="10"/>
      <c r="AZ784" s="10"/>
      <c r="BA784" s="10"/>
    </row>
    <row r="785" spans="1:53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  <c r="AY785" s="10"/>
      <c r="AZ785" s="10"/>
      <c r="BA785" s="10"/>
    </row>
    <row r="786" spans="1:53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  <c r="AY786" s="10"/>
      <c r="AZ786" s="10"/>
      <c r="BA786" s="10"/>
    </row>
    <row r="787" spans="1:53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  <c r="AY787" s="10"/>
      <c r="AZ787" s="10"/>
      <c r="BA787" s="10"/>
    </row>
    <row r="788" spans="1:53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  <c r="AY788" s="10"/>
      <c r="AZ788" s="10"/>
      <c r="BA788" s="10"/>
    </row>
    <row r="789" spans="1:53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  <c r="AY789" s="10"/>
      <c r="AZ789" s="10"/>
      <c r="BA789" s="10"/>
    </row>
    <row r="790" spans="1:53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  <c r="AY790" s="10"/>
      <c r="AZ790" s="10"/>
      <c r="BA790" s="10"/>
    </row>
    <row r="791" spans="1:53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  <c r="AY791" s="10"/>
      <c r="AZ791" s="10"/>
      <c r="BA791" s="10"/>
    </row>
    <row r="792" spans="1:53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  <c r="AY792" s="10"/>
      <c r="AZ792" s="10"/>
      <c r="BA792" s="10"/>
    </row>
    <row r="793" spans="1:53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  <c r="AY793" s="10"/>
      <c r="AZ793" s="10"/>
      <c r="BA793" s="10"/>
    </row>
    <row r="794" spans="1:53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  <c r="AY794" s="10"/>
      <c r="AZ794" s="10"/>
      <c r="BA794" s="10"/>
    </row>
    <row r="795" spans="1:53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  <c r="AY795" s="10"/>
      <c r="AZ795" s="10"/>
      <c r="BA795" s="10"/>
    </row>
    <row r="796" spans="1:53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  <c r="AY796" s="10"/>
      <c r="AZ796" s="10"/>
      <c r="BA796" s="10"/>
    </row>
    <row r="797" spans="1:53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  <c r="AY797" s="10"/>
      <c r="AZ797" s="10"/>
      <c r="BA797" s="10"/>
    </row>
    <row r="798" spans="1:53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  <c r="AY798" s="10"/>
      <c r="AZ798" s="10"/>
      <c r="BA798" s="10"/>
    </row>
    <row r="799" spans="1:53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  <c r="AY799" s="10"/>
      <c r="AZ799" s="10"/>
      <c r="BA799" s="10"/>
    </row>
    <row r="800" spans="1:53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  <c r="AY800" s="10"/>
      <c r="AZ800" s="10"/>
      <c r="BA800" s="10"/>
    </row>
    <row r="801" spans="1:53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  <c r="AY801" s="10"/>
      <c r="AZ801" s="10"/>
      <c r="BA801" s="10"/>
    </row>
    <row r="802" spans="1:53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  <c r="AY802" s="10"/>
      <c r="AZ802" s="10"/>
      <c r="BA802" s="10"/>
    </row>
    <row r="803" spans="1:53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  <c r="AY803" s="10"/>
      <c r="AZ803" s="10"/>
      <c r="BA803" s="10"/>
    </row>
    <row r="804" spans="1:53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  <c r="AY804" s="10"/>
      <c r="AZ804" s="10"/>
      <c r="BA804" s="10"/>
    </row>
    <row r="805" spans="1:53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  <c r="AY805" s="10"/>
      <c r="AZ805" s="10"/>
      <c r="BA805" s="10"/>
    </row>
    <row r="806" spans="1:53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  <c r="AY806" s="10"/>
      <c r="AZ806" s="10"/>
      <c r="BA806" s="10"/>
    </row>
    <row r="807" spans="1:53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  <c r="AY807" s="10"/>
      <c r="AZ807" s="10"/>
      <c r="BA807" s="10"/>
    </row>
    <row r="808" spans="1:53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  <c r="AY808" s="10"/>
      <c r="AZ808" s="10"/>
      <c r="BA808" s="10"/>
    </row>
    <row r="809" spans="1:53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  <c r="AY809" s="10"/>
      <c r="AZ809" s="10"/>
      <c r="BA809" s="10"/>
    </row>
    <row r="810" spans="1:53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  <c r="AY810" s="10"/>
      <c r="AZ810" s="10"/>
      <c r="BA810" s="10"/>
    </row>
    <row r="811" spans="1:53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  <c r="AY811" s="10"/>
      <c r="AZ811" s="10"/>
      <c r="BA811" s="10"/>
    </row>
    <row r="812" spans="1:53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  <c r="AY812" s="10"/>
      <c r="AZ812" s="10"/>
      <c r="BA812" s="10"/>
    </row>
    <row r="813" spans="1:53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  <c r="AY813" s="10"/>
      <c r="AZ813" s="10"/>
      <c r="BA813" s="10"/>
    </row>
    <row r="814" spans="1:53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  <c r="AY814" s="10"/>
      <c r="AZ814" s="10"/>
      <c r="BA814" s="10"/>
    </row>
    <row r="815" spans="1:53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  <c r="AY815" s="10"/>
      <c r="AZ815" s="10"/>
      <c r="BA815" s="10"/>
    </row>
    <row r="816" spans="1:53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  <c r="AY816" s="10"/>
      <c r="AZ816" s="10"/>
      <c r="BA816" s="10"/>
    </row>
    <row r="817" spans="1:53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  <c r="AY817" s="10"/>
      <c r="AZ817" s="10"/>
      <c r="BA817" s="10"/>
    </row>
    <row r="818" spans="1:53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  <c r="AY818" s="10"/>
      <c r="AZ818" s="10"/>
      <c r="BA818" s="10"/>
    </row>
    <row r="819" spans="1:53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  <c r="AY819" s="10"/>
      <c r="AZ819" s="10"/>
      <c r="BA819" s="10"/>
    </row>
    <row r="820" spans="1:53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  <c r="AY820" s="10"/>
      <c r="AZ820" s="10"/>
      <c r="BA820" s="10"/>
    </row>
    <row r="821" spans="1:53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  <c r="AY821" s="10"/>
      <c r="AZ821" s="10"/>
      <c r="BA821" s="10"/>
    </row>
    <row r="822" spans="1:53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  <c r="AY822" s="10"/>
      <c r="AZ822" s="10"/>
      <c r="BA822" s="10"/>
    </row>
    <row r="823" spans="1:53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  <c r="AY823" s="10"/>
      <c r="AZ823" s="10"/>
      <c r="BA823" s="10"/>
    </row>
    <row r="824" spans="1:53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  <c r="AY824" s="10"/>
      <c r="AZ824" s="10"/>
      <c r="BA824" s="10"/>
    </row>
    <row r="825" spans="1:53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  <c r="AY825" s="10"/>
      <c r="AZ825" s="10"/>
      <c r="BA825" s="10"/>
    </row>
    <row r="826" spans="1:53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  <c r="AY826" s="10"/>
      <c r="AZ826" s="10"/>
      <c r="BA826" s="10"/>
    </row>
    <row r="827" spans="1:53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  <c r="AY827" s="10"/>
      <c r="AZ827" s="10"/>
      <c r="BA827" s="10"/>
    </row>
    <row r="828" spans="1:53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  <c r="AY828" s="10"/>
      <c r="AZ828" s="10"/>
      <c r="BA828" s="10"/>
    </row>
    <row r="829" spans="1:53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  <c r="AY829" s="10"/>
      <c r="AZ829" s="10"/>
      <c r="BA829" s="10"/>
    </row>
    <row r="830" spans="1:53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  <c r="AY830" s="10"/>
      <c r="AZ830" s="10"/>
      <c r="BA830" s="10"/>
    </row>
    <row r="831" spans="1:53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  <c r="AY831" s="10"/>
      <c r="AZ831" s="10"/>
      <c r="BA831" s="10"/>
    </row>
    <row r="832" spans="1:53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  <c r="AY832" s="10"/>
      <c r="AZ832" s="10"/>
      <c r="BA832" s="10"/>
    </row>
    <row r="833" spans="1:53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  <c r="AY833" s="10"/>
      <c r="AZ833" s="10"/>
      <c r="BA833" s="10"/>
    </row>
    <row r="834" spans="1:53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  <c r="AY834" s="10"/>
      <c r="AZ834" s="10"/>
      <c r="BA834" s="10"/>
    </row>
    <row r="835" spans="1:53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  <c r="AY835" s="10"/>
      <c r="AZ835" s="10"/>
      <c r="BA835" s="10"/>
    </row>
    <row r="836" spans="1:53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  <c r="AY836" s="10"/>
      <c r="AZ836" s="10"/>
      <c r="BA836" s="10"/>
    </row>
    <row r="837" spans="1:53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  <c r="AY837" s="10"/>
      <c r="AZ837" s="10"/>
      <c r="BA837" s="10"/>
    </row>
    <row r="838" spans="1:53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  <c r="AY838" s="10"/>
      <c r="AZ838" s="10"/>
      <c r="BA838" s="10"/>
    </row>
    <row r="839" spans="1:53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  <c r="AY839" s="10"/>
      <c r="AZ839" s="10"/>
      <c r="BA839" s="10"/>
    </row>
    <row r="840" spans="1:53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  <c r="AY840" s="10"/>
      <c r="AZ840" s="10"/>
      <c r="BA840" s="10"/>
    </row>
    <row r="841" spans="1:53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  <c r="AY841" s="10"/>
      <c r="AZ841" s="10"/>
      <c r="BA841" s="10"/>
    </row>
    <row r="842" spans="1:53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  <c r="AY842" s="10"/>
      <c r="AZ842" s="10"/>
      <c r="BA842" s="10"/>
    </row>
    <row r="843" spans="1:53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  <c r="AY843" s="10"/>
      <c r="AZ843" s="10"/>
      <c r="BA843" s="10"/>
    </row>
    <row r="844" spans="1:53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  <c r="AY844" s="10"/>
      <c r="AZ844" s="10"/>
      <c r="BA844" s="10"/>
    </row>
    <row r="845" spans="1:53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  <c r="AY845" s="10"/>
      <c r="AZ845" s="10"/>
      <c r="BA845" s="10"/>
    </row>
    <row r="846" spans="1:53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  <c r="AY846" s="10"/>
      <c r="AZ846" s="10"/>
      <c r="BA846" s="10"/>
    </row>
    <row r="847" spans="1:53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  <c r="AY847" s="10"/>
      <c r="AZ847" s="10"/>
      <c r="BA847" s="10"/>
    </row>
    <row r="848" spans="1:53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  <c r="AY848" s="10"/>
      <c r="AZ848" s="10"/>
      <c r="BA848" s="10"/>
    </row>
    <row r="849" spans="1:53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  <c r="AY849" s="10"/>
      <c r="AZ849" s="10"/>
      <c r="BA849" s="10"/>
    </row>
    <row r="850" spans="1:53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  <c r="AY850" s="10"/>
      <c r="AZ850" s="10"/>
      <c r="BA850" s="10"/>
    </row>
    <row r="851" spans="1:53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  <c r="AY851" s="10"/>
      <c r="AZ851" s="10"/>
      <c r="BA851" s="10"/>
    </row>
    <row r="852" spans="1:53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  <c r="AY852" s="10"/>
      <c r="AZ852" s="10"/>
      <c r="BA852" s="10"/>
    </row>
    <row r="853" spans="1:53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  <c r="AY853" s="10"/>
      <c r="AZ853" s="10"/>
      <c r="BA853" s="10"/>
    </row>
    <row r="854" spans="1:53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  <c r="AY854" s="10"/>
      <c r="AZ854" s="10"/>
      <c r="BA854" s="10"/>
    </row>
    <row r="855" spans="1:53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  <c r="AY855" s="10"/>
      <c r="AZ855" s="10"/>
      <c r="BA855" s="10"/>
    </row>
    <row r="856" spans="1:53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  <c r="AY856" s="10"/>
      <c r="AZ856" s="10"/>
      <c r="BA856" s="10"/>
    </row>
    <row r="857" spans="1:53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  <c r="AY857" s="10"/>
      <c r="AZ857" s="10"/>
      <c r="BA857" s="10"/>
    </row>
    <row r="858" spans="1:53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  <c r="AY858" s="10"/>
      <c r="AZ858" s="10"/>
      <c r="BA858" s="10"/>
    </row>
    <row r="859" spans="1:53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  <c r="AY859" s="10"/>
      <c r="AZ859" s="10"/>
      <c r="BA859" s="10"/>
    </row>
    <row r="860" spans="1:53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  <c r="AY860" s="10"/>
      <c r="AZ860" s="10"/>
      <c r="BA860" s="10"/>
    </row>
    <row r="861" spans="1:53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  <c r="AY861" s="10"/>
      <c r="AZ861" s="10"/>
      <c r="BA861" s="10"/>
    </row>
    <row r="862" spans="1:53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  <c r="AY862" s="10"/>
      <c r="AZ862" s="10"/>
      <c r="BA862" s="10"/>
    </row>
    <row r="863" spans="1:53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  <c r="AY863" s="10"/>
      <c r="AZ863" s="10"/>
      <c r="BA863" s="10"/>
    </row>
    <row r="864" spans="1:53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  <c r="AY864" s="10"/>
      <c r="AZ864" s="10"/>
      <c r="BA864" s="10"/>
    </row>
    <row r="865" spans="1:53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  <c r="AY865" s="10"/>
      <c r="AZ865" s="10"/>
      <c r="BA865" s="10"/>
    </row>
    <row r="866" spans="1:53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  <c r="AY866" s="10"/>
      <c r="AZ866" s="10"/>
      <c r="BA866" s="10"/>
    </row>
    <row r="867" spans="1:53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  <c r="AY867" s="10"/>
      <c r="AZ867" s="10"/>
      <c r="BA867" s="10"/>
    </row>
    <row r="868" spans="1:53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  <c r="AY868" s="10"/>
      <c r="AZ868" s="10"/>
      <c r="BA868" s="10"/>
    </row>
    <row r="869" spans="1:53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  <c r="AY869" s="10"/>
      <c r="AZ869" s="10"/>
      <c r="BA869" s="10"/>
    </row>
    <row r="870" spans="1:53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  <c r="AY870" s="10"/>
      <c r="AZ870" s="10"/>
      <c r="BA870" s="10"/>
    </row>
    <row r="871" spans="1:53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  <c r="AY871" s="10"/>
      <c r="AZ871" s="10"/>
      <c r="BA871" s="10"/>
    </row>
    <row r="872" spans="1:53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  <c r="AY872" s="10"/>
      <c r="AZ872" s="10"/>
      <c r="BA872" s="10"/>
    </row>
    <row r="873" spans="1:53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  <c r="AY873" s="10"/>
      <c r="AZ873" s="10"/>
      <c r="BA873" s="10"/>
    </row>
    <row r="874" spans="1:53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  <c r="AY874" s="10"/>
      <c r="AZ874" s="10"/>
      <c r="BA874" s="10"/>
    </row>
    <row r="875" spans="1:53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  <c r="AY875" s="10"/>
      <c r="AZ875" s="10"/>
      <c r="BA875" s="10"/>
    </row>
    <row r="876" spans="1:53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  <c r="AY876" s="10"/>
      <c r="AZ876" s="10"/>
      <c r="BA876" s="10"/>
    </row>
    <row r="877" spans="1:53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  <c r="AY877" s="10"/>
      <c r="AZ877" s="10"/>
      <c r="BA877" s="10"/>
    </row>
    <row r="878" spans="1:53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  <c r="AY878" s="10"/>
      <c r="AZ878" s="10"/>
      <c r="BA878" s="10"/>
    </row>
    <row r="879" spans="1:53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  <c r="AY879" s="10"/>
      <c r="AZ879" s="10"/>
      <c r="BA879" s="10"/>
    </row>
    <row r="880" spans="1:53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  <c r="AY880" s="10"/>
      <c r="AZ880" s="10"/>
      <c r="BA880" s="10"/>
    </row>
    <row r="881" spans="1:53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  <c r="AY881" s="10"/>
      <c r="AZ881" s="10"/>
      <c r="BA881" s="10"/>
    </row>
    <row r="882" spans="1:53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  <c r="AY882" s="10"/>
      <c r="AZ882" s="10"/>
      <c r="BA882" s="10"/>
    </row>
    <row r="883" spans="1:53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  <c r="AY883" s="10"/>
      <c r="AZ883" s="10"/>
      <c r="BA883" s="10"/>
    </row>
    <row r="884" spans="1:53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  <c r="AY884" s="10"/>
      <c r="AZ884" s="10"/>
      <c r="BA884" s="10"/>
    </row>
    <row r="885" spans="1:53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  <c r="AY885" s="10"/>
      <c r="AZ885" s="10"/>
      <c r="BA885" s="10"/>
    </row>
    <row r="886" spans="1:53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  <c r="AY886" s="10"/>
      <c r="AZ886" s="10"/>
      <c r="BA886" s="10"/>
    </row>
    <row r="887" spans="1:53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  <c r="AY887" s="10"/>
      <c r="AZ887" s="10"/>
      <c r="BA887" s="10"/>
    </row>
    <row r="888" spans="1:53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  <c r="AY888" s="10"/>
      <c r="AZ888" s="10"/>
      <c r="BA888" s="10"/>
    </row>
    <row r="889" spans="1:53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  <c r="AY889" s="10"/>
      <c r="AZ889" s="10"/>
      <c r="BA889" s="10"/>
    </row>
    <row r="890" spans="1:53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  <c r="AY890" s="10"/>
      <c r="AZ890" s="10"/>
      <c r="BA890" s="10"/>
    </row>
    <row r="891" spans="1:53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  <c r="AY891" s="10"/>
      <c r="AZ891" s="10"/>
      <c r="BA891" s="10"/>
    </row>
    <row r="892" spans="1:53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  <c r="AY892" s="10"/>
      <c r="AZ892" s="10"/>
      <c r="BA892" s="10"/>
    </row>
    <row r="893" spans="1:53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  <c r="AY893" s="10"/>
      <c r="AZ893" s="10"/>
      <c r="BA893" s="10"/>
    </row>
    <row r="894" spans="1:53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  <c r="AY894" s="10"/>
      <c r="AZ894" s="10"/>
      <c r="BA894" s="10"/>
    </row>
    <row r="895" spans="1:53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  <c r="AY895" s="10"/>
      <c r="AZ895" s="10"/>
      <c r="BA895" s="10"/>
    </row>
    <row r="896" spans="1:53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  <c r="AY896" s="10"/>
      <c r="AZ896" s="10"/>
      <c r="BA896" s="10"/>
    </row>
    <row r="897" spans="1:53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  <c r="AY897" s="10"/>
      <c r="AZ897" s="10"/>
      <c r="BA897" s="10"/>
    </row>
    <row r="898" spans="1:53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  <c r="AY898" s="10"/>
      <c r="AZ898" s="10"/>
      <c r="BA898" s="10"/>
    </row>
    <row r="899" spans="1:53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  <c r="AY899" s="10"/>
      <c r="AZ899" s="10"/>
      <c r="BA899" s="10"/>
    </row>
    <row r="900" spans="1:53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  <c r="AY900" s="10"/>
      <c r="AZ900" s="10"/>
      <c r="BA900" s="10"/>
    </row>
    <row r="901" spans="1:53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  <c r="AY901" s="10"/>
      <c r="AZ901" s="10"/>
      <c r="BA901" s="10"/>
    </row>
    <row r="902" spans="1:53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  <c r="AY902" s="10"/>
      <c r="AZ902" s="10"/>
      <c r="BA902" s="10"/>
    </row>
    <row r="903" spans="1:53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  <c r="AY903" s="10"/>
      <c r="AZ903" s="10"/>
      <c r="BA903" s="10"/>
    </row>
    <row r="904" spans="1:53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  <c r="AY904" s="10"/>
      <c r="AZ904" s="10"/>
      <c r="BA904" s="10"/>
    </row>
    <row r="905" spans="1:53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  <c r="AY905" s="10"/>
      <c r="AZ905" s="10"/>
      <c r="BA905" s="10"/>
    </row>
    <row r="906" spans="1:53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  <c r="AY906" s="10"/>
      <c r="AZ906" s="10"/>
      <c r="BA906" s="10"/>
    </row>
    <row r="907" spans="1:53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  <c r="AY907" s="10"/>
      <c r="AZ907" s="10"/>
      <c r="BA907" s="10"/>
    </row>
    <row r="908" spans="1:53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  <c r="AY908" s="10"/>
      <c r="AZ908" s="10"/>
      <c r="BA908" s="10"/>
    </row>
    <row r="909" spans="1:53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  <c r="AY909" s="10"/>
      <c r="AZ909" s="10"/>
      <c r="BA909" s="10"/>
    </row>
    <row r="910" spans="1:53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  <c r="AY910" s="10"/>
      <c r="AZ910" s="10"/>
      <c r="BA910" s="10"/>
    </row>
    <row r="911" spans="1:53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  <c r="AY911" s="10"/>
      <c r="AZ911" s="10"/>
      <c r="BA911" s="10"/>
    </row>
    <row r="912" spans="1:53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  <c r="AY912" s="10"/>
      <c r="AZ912" s="10"/>
      <c r="BA912" s="10"/>
    </row>
    <row r="913" spans="1:53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  <c r="AY913" s="10"/>
      <c r="AZ913" s="10"/>
      <c r="BA913" s="10"/>
    </row>
    <row r="914" spans="1:53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  <c r="AY914" s="10"/>
      <c r="AZ914" s="10"/>
      <c r="BA914" s="10"/>
    </row>
    <row r="915" spans="1:53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  <c r="AY915" s="10"/>
      <c r="AZ915" s="10"/>
      <c r="BA915" s="10"/>
    </row>
    <row r="916" spans="1:53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  <c r="AY916" s="10"/>
      <c r="AZ916" s="10"/>
      <c r="BA916" s="10"/>
    </row>
    <row r="917" spans="1:53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  <c r="AY917" s="10"/>
      <c r="AZ917" s="10"/>
      <c r="BA917" s="10"/>
    </row>
    <row r="918" spans="1:53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  <c r="AY918" s="10"/>
      <c r="AZ918" s="10"/>
      <c r="BA918" s="10"/>
    </row>
    <row r="919" spans="1:53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  <c r="AY919" s="10"/>
      <c r="AZ919" s="10"/>
      <c r="BA919" s="10"/>
    </row>
    <row r="920" spans="1:53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  <c r="AY920" s="10"/>
      <c r="AZ920" s="10"/>
      <c r="BA920" s="10"/>
    </row>
    <row r="921" spans="1:53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  <c r="AY921" s="10"/>
      <c r="AZ921" s="10"/>
      <c r="BA921" s="10"/>
    </row>
    <row r="922" spans="1:53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  <c r="AY922" s="10"/>
      <c r="AZ922" s="10"/>
      <c r="BA922" s="10"/>
    </row>
    <row r="923" spans="1:53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  <c r="AY923" s="10"/>
      <c r="AZ923" s="10"/>
      <c r="BA923" s="10"/>
    </row>
    <row r="924" spans="1:53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  <c r="AY924" s="10"/>
      <c r="AZ924" s="10"/>
      <c r="BA924" s="10"/>
    </row>
    <row r="925" spans="1:53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  <c r="AY925" s="10"/>
      <c r="AZ925" s="10"/>
      <c r="BA925" s="10"/>
    </row>
    <row r="926" spans="1:53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  <c r="AY926" s="10"/>
      <c r="AZ926" s="10"/>
      <c r="BA926" s="10"/>
    </row>
    <row r="927" spans="1:53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  <c r="AY927" s="10"/>
      <c r="AZ927" s="10"/>
      <c r="BA927" s="10"/>
    </row>
    <row r="928" spans="1:53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  <c r="AY928" s="10"/>
      <c r="AZ928" s="10"/>
      <c r="BA928" s="10"/>
    </row>
    <row r="929" spans="1:53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  <c r="AY929" s="10"/>
      <c r="AZ929" s="10"/>
      <c r="BA929" s="10"/>
    </row>
    <row r="930" spans="1:53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  <c r="AY930" s="10"/>
      <c r="AZ930" s="10"/>
      <c r="BA930" s="10"/>
    </row>
    <row r="931" spans="1:53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  <c r="AY931" s="10"/>
      <c r="AZ931" s="10"/>
      <c r="BA931" s="10"/>
    </row>
    <row r="932" spans="1:53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  <c r="AY932" s="10"/>
      <c r="AZ932" s="10"/>
      <c r="BA932" s="10"/>
    </row>
    <row r="933" spans="1:53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  <c r="AY933" s="10"/>
      <c r="AZ933" s="10"/>
      <c r="BA933" s="10"/>
    </row>
    <row r="934" spans="1:53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  <c r="AY934" s="10"/>
      <c r="AZ934" s="10"/>
      <c r="BA934" s="10"/>
    </row>
    <row r="935" spans="1:53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  <c r="AY935" s="10"/>
      <c r="AZ935" s="10"/>
      <c r="BA935" s="10"/>
    </row>
    <row r="936" spans="1:53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  <c r="AY936" s="10"/>
      <c r="AZ936" s="10"/>
      <c r="BA936" s="10"/>
    </row>
    <row r="937" spans="1:53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  <c r="AY937" s="10"/>
      <c r="AZ937" s="10"/>
      <c r="BA937" s="10"/>
    </row>
    <row r="938" spans="1:53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  <c r="AY938" s="10"/>
      <c r="AZ938" s="10"/>
      <c r="BA938" s="10"/>
    </row>
    <row r="939" spans="1:53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  <c r="AY939" s="10"/>
      <c r="AZ939" s="10"/>
      <c r="BA939" s="10"/>
    </row>
    <row r="940" spans="1:53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  <c r="AY940" s="10"/>
      <c r="AZ940" s="10"/>
      <c r="BA940" s="10"/>
    </row>
    <row r="941" spans="1:53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  <c r="AY941" s="10"/>
      <c r="AZ941" s="10"/>
      <c r="BA941" s="10"/>
    </row>
    <row r="942" spans="1:53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  <c r="AY942" s="10"/>
      <c r="AZ942" s="10"/>
      <c r="BA942" s="10"/>
    </row>
    <row r="943" spans="1:53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  <c r="AY943" s="10"/>
      <c r="AZ943" s="10"/>
      <c r="BA943" s="10"/>
    </row>
    <row r="944" spans="1:53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  <c r="AY944" s="10"/>
      <c r="AZ944" s="10"/>
      <c r="BA944" s="10"/>
    </row>
    <row r="945" spans="1:53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  <c r="AY945" s="10"/>
      <c r="AZ945" s="10"/>
      <c r="BA945" s="10"/>
    </row>
    <row r="946" spans="1:53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  <c r="AY946" s="10"/>
      <c r="AZ946" s="10"/>
      <c r="BA946" s="10"/>
    </row>
    <row r="947" spans="1:53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  <c r="AY947" s="10"/>
      <c r="AZ947" s="10"/>
      <c r="BA947" s="10"/>
    </row>
    <row r="948" spans="1:53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  <c r="AY948" s="10"/>
      <c r="AZ948" s="10"/>
      <c r="BA948" s="10"/>
    </row>
    <row r="949" spans="1:53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  <c r="AY949" s="10"/>
      <c r="AZ949" s="10"/>
      <c r="BA949" s="10"/>
    </row>
    <row r="950" spans="1:53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  <c r="AY950" s="10"/>
      <c r="AZ950" s="10"/>
      <c r="BA950" s="10"/>
    </row>
    <row r="951" spans="1:53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  <c r="AY951" s="10"/>
      <c r="AZ951" s="10"/>
      <c r="BA951" s="10"/>
    </row>
    <row r="952" spans="1:53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  <c r="AY952" s="10"/>
      <c r="AZ952" s="10"/>
      <c r="BA952" s="10"/>
    </row>
    <row r="953" spans="1:53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  <c r="AY953" s="10"/>
      <c r="AZ953" s="10"/>
      <c r="BA953" s="10"/>
    </row>
    <row r="954" spans="1:53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  <c r="AY954" s="10"/>
      <c r="AZ954" s="10"/>
      <c r="BA954" s="10"/>
    </row>
    <row r="955" spans="1:53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  <c r="AY955" s="10"/>
      <c r="AZ955" s="10"/>
      <c r="BA955" s="10"/>
    </row>
    <row r="956" spans="1:53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  <c r="AY956" s="10"/>
      <c r="AZ956" s="10"/>
      <c r="BA956" s="10"/>
    </row>
    <row r="957" spans="1:53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  <c r="AY957" s="10"/>
      <c r="AZ957" s="10"/>
      <c r="BA957" s="10"/>
    </row>
    <row r="958" spans="1:53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  <c r="AY958" s="10"/>
      <c r="AZ958" s="10"/>
      <c r="BA958" s="10"/>
    </row>
    <row r="959" spans="1:53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  <c r="AY959" s="10"/>
      <c r="AZ959" s="10"/>
      <c r="BA959" s="10"/>
    </row>
    <row r="960" spans="1:53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  <c r="AY960" s="10"/>
      <c r="AZ960" s="10"/>
      <c r="BA960" s="10"/>
    </row>
    <row r="961" spans="1:53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  <c r="AY961" s="10"/>
      <c r="AZ961" s="10"/>
      <c r="BA961" s="10"/>
    </row>
    <row r="962" spans="1:53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  <c r="AY962" s="10"/>
      <c r="AZ962" s="10"/>
      <c r="BA962" s="10"/>
    </row>
    <row r="963" spans="1:53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  <c r="AY963" s="10"/>
      <c r="AZ963" s="10"/>
      <c r="BA963" s="10"/>
    </row>
    <row r="964" spans="1:53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  <c r="AY964" s="10"/>
      <c r="AZ964" s="10"/>
      <c r="BA964" s="10"/>
    </row>
    <row r="965" spans="1:53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  <c r="AY965" s="10"/>
      <c r="AZ965" s="10"/>
      <c r="BA965" s="10"/>
    </row>
    <row r="966" spans="1:53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  <c r="AY966" s="10"/>
      <c r="AZ966" s="10"/>
      <c r="BA966" s="10"/>
    </row>
    <row r="967" spans="1:53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  <c r="AY967" s="10"/>
      <c r="AZ967" s="10"/>
      <c r="BA967" s="10"/>
    </row>
    <row r="968" spans="1:53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  <c r="AY968" s="10"/>
      <c r="AZ968" s="10"/>
      <c r="BA968" s="10"/>
    </row>
    <row r="969" spans="1:53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  <c r="AY969" s="10"/>
      <c r="AZ969" s="10"/>
      <c r="BA969" s="10"/>
    </row>
    <row r="970" spans="1:53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  <c r="AY970" s="10"/>
      <c r="AZ970" s="10"/>
      <c r="BA970" s="10"/>
    </row>
    <row r="971" spans="1:53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  <c r="AY971" s="10"/>
      <c r="AZ971" s="10"/>
      <c r="BA971" s="10"/>
    </row>
    <row r="972" spans="1:53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  <c r="AY972" s="10"/>
      <c r="AZ972" s="10"/>
      <c r="BA972" s="10"/>
    </row>
    <row r="973" spans="1:53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  <c r="AY973" s="10"/>
      <c r="AZ973" s="10"/>
      <c r="BA973" s="10"/>
    </row>
    <row r="974" spans="1:53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  <c r="AY974" s="10"/>
      <c r="AZ974" s="10"/>
      <c r="BA974" s="10"/>
    </row>
    <row r="975" spans="1:53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  <c r="AY975" s="10"/>
      <c r="AZ975" s="10"/>
      <c r="BA975" s="10"/>
    </row>
    <row r="976" spans="1:53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  <c r="AY976" s="10"/>
      <c r="AZ976" s="10"/>
      <c r="BA976" s="10"/>
    </row>
    <row r="977" spans="1:53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  <c r="AY977" s="10"/>
      <c r="AZ977" s="10"/>
      <c r="BA977" s="10"/>
    </row>
    <row r="978" spans="1:53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  <c r="AY978" s="10"/>
      <c r="AZ978" s="10"/>
      <c r="BA978" s="10"/>
    </row>
    <row r="979" spans="1:53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  <c r="AY979" s="10"/>
      <c r="AZ979" s="10"/>
      <c r="BA979" s="10"/>
    </row>
    <row r="980" spans="1:53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  <c r="AY980" s="10"/>
      <c r="AZ980" s="10"/>
      <c r="BA980" s="10"/>
    </row>
    <row r="981" spans="1:53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  <c r="AY981" s="10"/>
      <c r="AZ981" s="10"/>
      <c r="BA981" s="10"/>
    </row>
    <row r="982" spans="1:53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  <c r="AY982" s="10"/>
      <c r="AZ982" s="10"/>
      <c r="BA982" s="10"/>
    </row>
    <row r="983" spans="1:53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  <c r="AY983" s="10"/>
      <c r="AZ983" s="10"/>
      <c r="BA983" s="10"/>
    </row>
    <row r="984" spans="1:53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  <c r="AY984" s="10"/>
      <c r="AZ984" s="10"/>
      <c r="BA984" s="10"/>
    </row>
    <row r="985" spans="1:53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  <c r="AY985" s="10"/>
      <c r="AZ985" s="10"/>
      <c r="BA985" s="10"/>
    </row>
    <row r="986" spans="1:53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  <c r="AY986" s="10"/>
      <c r="AZ986" s="10"/>
      <c r="BA986" s="10"/>
    </row>
    <row r="987" spans="1:53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  <c r="AY987" s="10"/>
      <c r="AZ987" s="10"/>
      <c r="BA987" s="10"/>
    </row>
    <row r="988" spans="1:53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  <c r="AY988" s="10"/>
      <c r="AZ988" s="10"/>
      <c r="BA988" s="10"/>
    </row>
    <row r="989" spans="1:53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  <c r="AY989" s="10"/>
      <c r="AZ989" s="10"/>
      <c r="BA989" s="10"/>
    </row>
    <row r="990" spans="1:53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  <c r="AY990" s="10"/>
      <c r="AZ990" s="10"/>
      <c r="BA990" s="10"/>
    </row>
    <row r="991" spans="1:53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  <c r="AY991" s="10"/>
      <c r="AZ991" s="10"/>
      <c r="BA991" s="10"/>
    </row>
    <row r="992" spans="1:53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  <c r="AY992" s="10"/>
      <c r="AZ992" s="10"/>
      <c r="BA992" s="10"/>
    </row>
    <row r="993" spans="1:53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  <c r="AY993" s="10"/>
      <c r="AZ993" s="10"/>
      <c r="BA993" s="10"/>
    </row>
    <row r="994" spans="1:53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  <c r="AY994" s="10"/>
      <c r="AZ994" s="10"/>
      <c r="BA994" s="10"/>
    </row>
    <row r="995" spans="1:53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  <c r="AY995" s="10"/>
      <c r="AZ995" s="10"/>
      <c r="BA995" s="10"/>
    </row>
    <row r="996" spans="1:53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  <c r="AY996" s="10"/>
      <c r="AZ996" s="10"/>
      <c r="BA996" s="10"/>
    </row>
    <row r="997" spans="1:53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  <c r="AY997" s="10"/>
      <c r="AZ997" s="10"/>
      <c r="BA997" s="10"/>
    </row>
    <row r="998" spans="1:53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  <c r="AY998" s="10"/>
      <c r="AZ998" s="10"/>
      <c r="BA998" s="10"/>
    </row>
    <row r="999" spans="1:53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  <c r="AY999" s="10"/>
      <c r="AZ999" s="10"/>
      <c r="BA999" s="10"/>
    </row>
    <row r="1000" spans="1:53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  <c r="AY1000" s="10"/>
      <c r="AZ1000" s="10"/>
      <c r="BA1000" s="10"/>
    </row>
    <row r="1001" spans="1:53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  <c r="AY1001" s="10"/>
      <c r="AZ1001" s="10"/>
      <c r="BA1001" s="10"/>
    </row>
    <row r="1002" spans="1:53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  <c r="AY1002" s="10"/>
      <c r="AZ1002" s="10"/>
      <c r="BA1002" s="10"/>
    </row>
    <row r="1003" spans="1:53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  <c r="AY1003" s="10"/>
      <c r="AZ1003" s="10"/>
      <c r="BA1003" s="10"/>
    </row>
    <row r="1004" spans="1:53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  <c r="AY1004" s="10"/>
      <c r="AZ1004" s="10"/>
      <c r="BA1004" s="10"/>
    </row>
    <row r="1005" spans="1:53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  <c r="AY1005" s="10"/>
      <c r="AZ1005" s="10"/>
      <c r="BA1005" s="10"/>
    </row>
    <row r="1006" spans="1:53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  <c r="AY1006" s="10"/>
      <c r="AZ1006" s="10"/>
      <c r="BA1006" s="10"/>
    </row>
    <row r="1007" spans="1:53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  <c r="AY1007" s="10"/>
      <c r="AZ1007" s="10"/>
      <c r="BA1007" s="10"/>
    </row>
    <row r="1008" spans="1:53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  <c r="AY1008" s="10"/>
      <c r="AZ1008" s="10"/>
      <c r="BA1008" s="10"/>
    </row>
    <row r="1009" spans="1:53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  <c r="AY1009" s="10"/>
      <c r="AZ1009" s="10"/>
      <c r="BA1009" s="10"/>
    </row>
    <row r="1010" spans="1:53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  <c r="AY1010" s="10"/>
      <c r="AZ1010" s="10"/>
      <c r="BA1010" s="10"/>
    </row>
    <row r="1011" spans="1:53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  <c r="AY1011" s="10"/>
      <c r="AZ1011" s="10"/>
      <c r="BA1011" s="10"/>
    </row>
    <row r="1012" spans="1:53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  <c r="AY1012" s="10"/>
      <c r="AZ1012" s="10"/>
      <c r="BA1012" s="10"/>
    </row>
    <row r="1013" spans="1:53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  <c r="AY1013" s="10"/>
      <c r="AZ1013" s="10"/>
      <c r="BA1013" s="10"/>
    </row>
    <row r="1014" spans="1:53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  <c r="AY1014" s="10"/>
      <c r="AZ1014" s="10"/>
      <c r="BA1014" s="10"/>
    </row>
    <row r="1015" spans="1:53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  <c r="AY1015" s="10"/>
      <c r="AZ1015" s="10"/>
      <c r="BA1015" s="10"/>
    </row>
    <row r="1016" spans="1:53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  <c r="AY1016" s="10"/>
      <c r="AZ1016" s="10"/>
      <c r="BA1016" s="10"/>
    </row>
    <row r="1017" spans="1:53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  <c r="AY1017" s="10"/>
      <c r="AZ1017" s="10"/>
      <c r="BA1017" s="10"/>
    </row>
    <row r="1018" spans="1:53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  <c r="AY1018" s="10"/>
      <c r="AZ1018" s="10"/>
      <c r="BA1018" s="10"/>
    </row>
    <row r="1019" spans="1:53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  <c r="AY1019" s="10"/>
      <c r="AZ1019" s="10"/>
      <c r="BA1019" s="10"/>
    </row>
    <row r="1020" spans="1:53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  <c r="AY1020" s="10"/>
      <c r="AZ1020" s="10"/>
      <c r="BA1020" s="10"/>
    </row>
    <row r="1021" spans="1:53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  <c r="AY1021" s="10"/>
      <c r="AZ1021" s="10"/>
      <c r="BA1021" s="10"/>
    </row>
    <row r="1022" spans="1:53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  <c r="AY1022" s="10"/>
      <c r="AZ1022" s="10"/>
      <c r="BA1022" s="10"/>
    </row>
    <row r="1023" spans="1:53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  <c r="AT1023" s="10"/>
      <c r="AU1023" s="10"/>
      <c r="AV1023" s="10"/>
      <c r="AW1023" s="10"/>
      <c r="AX1023" s="10"/>
      <c r="AY1023" s="10"/>
      <c r="AZ1023" s="10"/>
      <c r="BA1023" s="10"/>
    </row>
    <row r="1024" spans="1:53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10"/>
      <c r="AU1024" s="10"/>
      <c r="AV1024" s="10"/>
      <c r="AW1024" s="10"/>
      <c r="AX1024" s="10"/>
      <c r="AY1024" s="10"/>
      <c r="AZ1024" s="10"/>
      <c r="BA1024" s="10"/>
    </row>
    <row r="1025" spans="1:53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  <c r="AY1025" s="10"/>
      <c r="AZ1025" s="10"/>
      <c r="BA1025" s="10"/>
    </row>
    <row r="1026" spans="1:53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  <c r="AY1026" s="10"/>
      <c r="AZ1026" s="10"/>
      <c r="BA1026" s="10"/>
    </row>
    <row r="1027" spans="1:53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10"/>
      <c r="AU1027" s="10"/>
      <c r="AV1027" s="10"/>
      <c r="AW1027" s="10"/>
      <c r="AX1027" s="10"/>
      <c r="AY1027" s="10"/>
      <c r="AZ1027" s="10"/>
      <c r="BA1027" s="10"/>
    </row>
    <row r="1028" spans="1:53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10"/>
      <c r="AU1028" s="10"/>
      <c r="AV1028" s="10"/>
      <c r="AW1028" s="10"/>
      <c r="AX1028" s="10"/>
      <c r="AY1028" s="10"/>
      <c r="AZ1028" s="10"/>
      <c r="BA1028" s="10"/>
    </row>
    <row r="1029" spans="1:53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  <c r="AY1029" s="10"/>
      <c r="AZ1029" s="10"/>
      <c r="BA1029" s="10"/>
    </row>
    <row r="1030" spans="1:53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10"/>
      <c r="AU1030" s="10"/>
      <c r="AV1030" s="10"/>
      <c r="AW1030" s="10"/>
      <c r="AX1030" s="10"/>
      <c r="AY1030" s="10"/>
      <c r="AZ1030" s="10"/>
      <c r="BA1030" s="10"/>
    </row>
    <row r="1031" spans="1:53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  <c r="AY1031" s="10"/>
      <c r="AZ1031" s="10"/>
      <c r="BA1031" s="10"/>
    </row>
    <row r="1032" spans="1:53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  <c r="AY1032" s="10"/>
      <c r="AZ1032" s="10"/>
      <c r="BA1032" s="10"/>
    </row>
    <row r="1033" spans="1:53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10"/>
      <c r="AU1033" s="10"/>
      <c r="AV1033" s="10"/>
      <c r="AW1033" s="10"/>
      <c r="AX1033" s="10"/>
      <c r="AY1033" s="10"/>
      <c r="AZ1033" s="10"/>
      <c r="BA1033" s="10"/>
    </row>
    <row r="1034" spans="1:53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10"/>
      <c r="AU1034" s="10"/>
      <c r="AV1034" s="10"/>
      <c r="AW1034" s="10"/>
      <c r="AX1034" s="10"/>
      <c r="AY1034" s="10"/>
      <c r="AZ1034" s="10"/>
      <c r="BA1034" s="10"/>
    </row>
    <row r="1035" spans="1:53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  <c r="AY1035" s="10"/>
      <c r="AZ1035" s="10"/>
      <c r="BA1035" s="10"/>
    </row>
    <row r="1036" spans="1:53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10"/>
      <c r="AU1036" s="10"/>
      <c r="AV1036" s="10"/>
      <c r="AW1036" s="10"/>
      <c r="AX1036" s="10"/>
      <c r="AY1036" s="10"/>
      <c r="AZ1036" s="10"/>
      <c r="BA1036" s="10"/>
    </row>
    <row r="1037" spans="1:53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  <c r="AY1037" s="10"/>
      <c r="AZ1037" s="10"/>
      <c r="BA1037" s="10"/>
    </row>
    <row r="1038" spans="1:53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  <c r="AY1038" s="10"/>
      <c r="AZ1038" s="10"/>
      <c r="BA1038" s="10"/>
    </row>
    <row r="1039" spans="1:53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  <c r="AY1039" s="10"/>
      <c r="AZ1039" s="10"/>
      <c r="BA1039" s="10"/>
    </row>
    <row r="1040" spans="1:53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  <c r="AY1040" s="10"/>
      <c r="AZ1040" s="10"/>
      <c r="BA1040" s="10"/>
    </row>
    <row r="1041" spans="1:53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  <c r="AT1041" s="10"/>
      <c r="AU1041" s="10"/>
      <c r="AV1041" s="10"/>
      <c r="AW1041" s="10"/>
      <c r="AX1041" s="10"/>
      <c r="AY1041" s="10"/>
      <c r="AZ1041" s="10"/>
      <c r="BA1041" s="10"/>
    </row>
    <row r="1042" spans="1:53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10"/>
      <c r="AU1042" s="10"/>
      <c r="AV1042" s="10"/>
      <c r="AW1042" s="10"/>
      <c r="AX1042" s="10"/>
      <c r="AY1042" s="10"/>
      <c r="AZ1042" s="10"/>
      <c r="BA1042" s="10"/>
    </row>
    <row r="1043" spans="1:53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  <c r="AY1043" s="10"/>
      <c r="AZ1043" s="10"/>
      <c r="BA1043" s="10"/>
    </row>
    <row r="1044" spans="1:53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  <c r="AY1044" s="10"/>
      <c r="AZ1044" s="10"/>
      <c r="BA1044" s="10"/>
    </row>
    <row r="1045" spans="1:53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10"/>
      <c r="AU1045" s="10"/>
      <c r="AV1045" s="10"/>
      <c r="AW1045" s="10"/>
      <c r="AX1045" s="10"/>
      <c r="AY1045" s="10"/>
      <c r="AZ1045" s="10"/>
      <c r="BA1045" s="10"/>
    </row>
    <row r="1046" spans="1:53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10"/>
      <c r="AU1046" s="10"/>
      <c r="AV1046" s="10"/>
      <c r="AW1046" s="10"/>
      <c r="AX1046" s="10"/>
      <c r="AY1046" s="10"/>
      <c r="AZ1046" s="10"/>
      <c r="BA1046" s="10"/>
    </row>
    <row r="1047" spans="1:53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  <c r="AT1047" s="10"/>
      <c r="AU1047" s="10"/>
      <c r="AV1047" s="10"/>
      <c r="AW1047" s="10"/>
      <c r="AX1047" s="10"/>
      <c r="AY1047" s="10"/>
      <c r="AZ1047" s="10"/>
      <c r="BA1047" s="10"/>
    </row>
    <row r="1048" spans="1:53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10"/>
      <c r="AU1048" s="10"/>
      <c r="AV1048" s="10"/>
      <c r="AW1048" s="10"/>
      <c r="AX1048" s="10"/>
      <c r="AY1048" s="10"/>
      <c r="AZ1048" s="10"/>
      <c r="BA1048" s="10"/>
    </row>
    <row r="1049" spans="1:53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10"/>
      <c r="AU1049" s="10"/>
      <c r="AV1049" s="10"/>
      <c r="AW1049" s="10"/>
      <c r="AX1049" s="10"/>
      <c r="AY1049" s="10"/>
      <c r="AZ1049" s="10"/>
      <c r="BA1049" s="10"/>
    </row>
    <row r="1050" spans="1:53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  <c r="AY1050" s="10"/>
      <c r="AZ1050" s="10"/>
      <c r="BA1050" s="10"/>
    </row>
    <row r="1051" spans="1:53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  <c r="AY1051" s="10"/>
      <c r="AZ1051" s="10"/>
      <c r="BA1051" s="10"/>
    </row>
    <row r="1052" spans="1:53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  <c r="AY1052" s="10"/>
      <c r="AZ1052" s="10"/>
      <c r="BA1052" s="10"/>
    </row>
    <row r="1053" spans="1:53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  <c r="AY1053" s="10"/>
      <c r="AZ1053" s="10"/>
      <c r="BA1053" s="10"/>
    </row>
    <row r="1054" spans="1:53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  <c r="AY1054" s="10"/>
      <c r="AZ1054" s="10"/>
      <c r="BA1054" s="10"/>
    </row>
    <row r="1055" spans="1:53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  <c r="AY1055" s="10"/>
      <c r="AZ1055" s="10"/>
      <c r="BA1055" s="10"/>
    </row>
    <row r="1056" spans="1:53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  <c r="AT1056" s="10"/>
      <c r="AU1056" s="10"/>
      <c r="AV1056" s="10"/>
      <c r="AW1056" s="10"/>
      <c r="AX1056" s="10"/>
      <c r="AY1056" s="10"/>
      <c r="AZ1056" s="10"/>
      <c r="BA1056" s="10"/>
    </row>
    <row r="1057" spans="1:53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  <c r="AY1057" s="10"/>
      <c r="AZ1057" s="10"/>
      <c r="BA1057" s="10"/>
    </row>
    <row r="1058" spans="1:53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10"/>
      <c r="AU1058" s="10"/>
      <c r="AV1058" s="10"/>
      <c r="AW1058" s="10"/>
      <c r="AX1058" s="10"/>
      <c r="AY1058" s="10"/>
      <c r="AZ1058" s="10"/>
      <c r="BA1058" s="10"/>
    </row>
    <row r="1059" spans="1:53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  <c r="AT1059" s="10"/>
      <c r="AU1059" s="10"/>
      <c r="AV1059" s="10"/>
      <c r="AW1059" s="10"/>
      <c r="AX1059" s="10"/>
      <c r="AY1059" s="10"/>
      <c r="AZ1059" s="10"/>
      <c r="BA1059" s="10"/>
    </row>
    <row r="1060" spans="1:53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10"/>
      <c r="AU1060" s="10"/>
      <c r="AV1060" s="10"/>
      <c r="AW1060" s="10"/>
      <c r="AX1060" s="10"/>
      <c r="AY1060" s="10"/>
      <c r="AZ1060" s="10"/>
      <c r="BA1060" s="10"/>
    </row>
    <row r="1061" spans="1:53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  <c r="AY1061" s="10"/>
      <c r="AZ1061" s="10"/>
      <c r="BA1061" s="10"/>
    </row>
    <row r="1062" spans="1:53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  <c r="AT1062" s="10"/>
      <c r="AU1062" s="10"/>
      <c r="AV1062" s="10"/>
      <c r="AW1062" s="10"/>
      <c r="AX1062" s="10"/>
      <c r="AY1062" s="10"/>
      <c r="AZ1062" s="10"/>
      <c r="BA1062" s="10"/>
    </row>
    <row r="1063" spans="1:53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  <c r="AY1063" s="10"/>
      <c r="AZ1063" s="10"/>
      <c r="BA1063" s="10"/>
    </row>
    <row r="1064" spans="1:53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  <c r="AY1064" s="10"/>
      <c r="AZ1064" s="10"/>
      <c r="BA1064" s="10"/>
    </row>
    <row r="1065" spans="1:53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  <c r="AY1065" s="10"/>
      <c r="AZ1065" s="10"/>
      <c r="BA1065" s="10"/>
    </row>
    <row r="1066" spans="1:53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10"/>
      <c r="AU1066" s="10"/>
      <c r="AV1066" s="10"/>
      <c r="AW1066" s="10"/>
      <c r="AX1066" s="10"/>
      <c r="AY1066" s="10"/>
      <c r="AZ1066" s="10"/>
      <c r="BA1066" s="10"/>
    </row>
    <row r="1067" spans="1:53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  <c r="AY1067" s="10"/>
      <c r="AZ1067" s="10"/>
      <c r="BA1067" s="10"/>
    </row>
    <row r="1068" spans="1:53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  <c r="AY1068" s="10"/>
      <c r="AZ1068" s="10"/>
      <c r="BA1068" s="10"/>
    </row>
    <row r="1069" spans="1:53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  <c r="AY1069" s="10"/>
      <c r="AZ1069" s="10"/>
      <c r="BA1069" s="10"/>
    </row>
    <row r="1070" spans="1:53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10"/>
      <c r="AU1070" s="10"/>
      <c r="AV1070" s="10"/>
      <c r="AW1070" s="10"/>
      <c r="AX1070" s="10"/>
      <c r="AY1070" s="10"/>
      <c r="AZ1070" s="10"/>
      <c r="BA1070" s="10"/>
    </row>
    <row r="1071" spans="1:53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  <c r="AY1071" s="10"/>
      <c r="AZ1071" s="10"/>
      <c r="BA1071" s="10"/>
    </row>
    <row r="1072" spans="1:53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  <c r="AY1072" s="10"/>
      <c r="AZ1072" s="10"/>
      <c r="BA1072" s="10"/>
    </row>
    <row r="1073" spans="1:53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  <c r="AY1073" s="10"/>
      <c r="AZ1073" s="10"/>
      <c r="BA1073" s="10"/>
    </row>
    <row r="1074" spans="1:53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  <c r="AT1074" s="10"/>
      <c r="AU1074" s="10"/>
      <c r="AV1074" s="10"/>
      <c r="AW1074" s="10"/>
      <c r="AX1074" s="10"/>
      <c r="AY1074" s="10"/>
      <c r="AZ1074" s="10"/>
      <c r="BA1074" s="10"/>
    </row>
    <row r="1075" spans="1:53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10"/>
      <c r="AU1075" s="10"/>
      <c r="AV1075" s="10"/>
      <c r="AW1075" s="10"/>
      <c r="AX1075" s="10"/>
      <c r="AY1075" s="10"/>
      <c r="AZ1075" s="10"/>
      <c r="BA1075" s="10"/>
    </row>
    <row r="1076" spans="1:53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  <c r="AY1076" s="10"/>
      <c r="AZ1076" s="10"/>
      <c r="BA1076" s="10"/>
    </row>
    <row r="1077" spans="1:53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  <c r="AY1077" s="10"/>
      <c r="AZ1077" s="10"/>
      <c r="BA1077" s="10"/>
    </row>
    <row r="1078" spans="1:53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  <c r="AY1078" s="10"/>
      <c r="AZ1078" s="10"/>
      <c r="BA1078" s="10"/>
    </row>
    <row r="1079" spans="1:53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10"/>
      <c r="AU1079" s="10"/>
      <c r="AV1079" s="10"/>
      <c r="AW1079" s="10"/>
      <c r="AX1079" s="10"/>
      <c r="AY1079" s="10"/>
      <c r="AZ1079" s="10"/>
      <c r="BA1079" s="10"/>
    </row>
    <row r="1080" spans="1:53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  <c r="AY1080" s="10"/>
      <c r="AZ1080" s="10"/>
      <c r="BA1080" s="10"/>
    </row>
    <row r="1081" spans="1:53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10"/>
      <c r="AU1081" s="10"/>
      <c r="AV1081" s="10"/>
      <c r="AW1081" s="10"/>
      <c r="AX1081" s="10"/>
      <c r="AY1081" s="10"/>
      <c r="AZ1081" s="10"/>
      <c r="BA1081" s="10"/>
    </row>
    <row r="1082" spans="1:53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10"/>
      <c r="AU1082" s="10"/>
      <c r="AV1082" s="10"/>
      <c r="AW1082" s="10"/>
      <c r="AX1082" s="10"/>
      <c r="AY1082" s="10"/>
      <c r="AZ1082" s="10"/>
      <c r="BA1082" s="10"/>
    </row>
    <row r="1083" spans="1:53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  <c r="AT1083" s="10"/>
      <c r="AU1083" s="10"/>
      <c r="AV1083" s="10"/>
      <c r="AW1083" s="10"/>
      <c r="AX1083" s="10"/>
      <c r="AY1083" s="10"/>
      <c r="AZ1083" s="10"/>
      <c r="BA1083" s="10"/>
    </row>
    <row r="1084" spans="1:53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  <c r="AY1084" s="10"/>
      <c r="AZ1084" s="10"/>
      <c r="BA1084" s="10"/>
    </row>
    <row r="1085" spans="1:53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  <c r="AY1085" s="10"/>
      <c r="AZ1085" s="10"/>
      <c r="BA1085" s="10"/>
    </row>
    <row r="1086" spans="1:53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  <c r="AY1086" s="10"/>
      <c r="AZ1086" s="10"/>
      <c r="BA1086" s="10"/>
    </row>
    <row r="1087" spans="1:53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  <c r="AY1087" s="10"/>
      <c r="AZ1087" s="10"/>
      <c r="BA1087" s="10"/>
    </row>
    <row r="1088" spans="1:53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10"/>
      <c r="AU1088" s="10"/>
      <c r="AV1088" s="10"/>
      <c r="AW1088" s="10"/>
      <c r="AX1088" s="10"/>
      <c r="AY1088" s="10"/>
      <c r="AZ1088" s="10"/>
      <c r="BA1088" s="10"/>
    </row>
    <row r="1089" spans="1:53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  <c r="AY1089" s="10"/>
      <c r="AZ1089" s="10"/>
      <c r="BA1089" s="10"/>
    </row>
    <row r="1090" spans="1:53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  <c r="AY1090" s="10"/>
      <c r="AZ1090" s="10"/>
      <c r="BA1090" s="10"/>
    </row>
    <row r="1091" spans="1:53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10"/>
      <c r="AU1091" s="10"/>
      <c r="AV1091" s="10"/>
      <c r="AW1091" s="10"/>
      <c r="AX1091" s="10"/>
      <c r="AY1091" s="10"/>
      <c r="AZ1091" s="10"/>
      <c r="BA1091" s="10"/>
    </row>
    <row r="1092" spans="1:53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  <c r="AY1092" s="10"/>
      <c r="AZ1092" s="10"/>
      <c r="BA1092" s="10"/>
    </row>
    <row r="1093" spans="1:53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10"/>
      <c r="AU1093" s="10"/>
      <c r="AV1093" s="10"/>
      <c r="AW1093" s="10"/>
      <c r="AX1093" s="10"/>
      <c r="AY1093" s="10"/>
      <c r="AZ1093" s="10"/>
      <c r="BA1093" s="10"/>
    </row>
    <row r="1094" spans="1:53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  <c r="AY1094" s="10"/>
      <c r="AZ1094" s="10"/>
      <c r="BA1094" s="10"/>
    </row>
    <row r="1095" spans="1:53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  <c r="AY1095" s="10"/>
      <c r="AZ1095" s="10"/>
      <c r="BA1095" s="10"/>
    </row>
    <row r="1096" spans="1:53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  <c r="AY1096" s="10"/>
      <c r="AZ1096" s="10"/>
      <c r="BA1096" s="10"/>
    </row>
    <row r="1097" spans="1:53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  <c r="AY1097" s="10"/>
      <c r="AZ1097" s="10"/>
      <c r="BA1097" s="10"/>
    </row>
    <row r="1098" spans="1:53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  <c r="AY1098" s="10"/>
      <c r="AZ1098" s="10"/>
      <c r="BA1098" s="10"/>
    </row>
    <row r="1099" spans="1:53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  <c r="AY1099" s="10"/>
      <c r="AZ1099" s="10"/>
      <c r="BA1099" s="10"/>
    </row>
    <row r="1100" spans="1:53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  <c r="AY1100" s="10"/>
      <c r="AZ1100" s="10"/>
      <c r="BA1100" s="10"/>
    </row>
    <row r="1101" spans="1:53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  <c r="AY1101" s="10"/>
      <c r="AZ1101" s="10"/>
      <c r="BA1101" s="10"/>
    </row>
    <row r="1102" spans="1:53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  <c r="AY1102" s="10"/>
      <c r="AZ1102" s="10"/>
      <c r="BA1102" s="10"/>
    </row>
    <row r="1103" spans="1:53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  <c r="AY1103" s="10"/>
      <c r="AZ1103" s="10"/>
      <c r="BA1103" s="10"/>
    </row>
    <row r="1104" spans="1:53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  <c r="AY1104" s="10"/>
      <c r="AZ1104" s="10"/>
      <c r="BA1104" s="10"/>
    </row>
    <row r="1105" spans="1:53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  <c r="AY1105" s="10"/>
      <c r="AZ1105" s="10"/>
      <c r="BA1105" s="10"/>
    </row>
    <row r="1106" spans="1:53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  <c r="AY1106" s="10"/>
      <c r="AZ1106" s="10"/>
      <c r="BA1106" s="10"/>
    </row>
    <row r="1107" spans="1:53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  <c r="AY1107" s="10"/>
      <c r="AZ1107" s="10"/>
      <c r="BA1107" s="10"/>
    </row>
    <row r="1108" spans="1:53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  <c r="AY1108" s="10"/>
      <c r="AZ1108" s="10"/>
      <c r="BA1108" s="10"/>
    </row>
    <row r="1109" spans="1:53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  <c r="AY1109" s="10"/>
      <c r="AZ1109" s="10"/>
      <c r="BA1109" s="10"/>
    </row>
    <row r="1110" spans="1:53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  <c r="AY1110" s="10"/>
      <c r="AZ1110" s="10"/>
      <c r="BA1110" s="10"/>
    </row>
    <row r="1111" spans="1:53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  <c r="AY1111" s="10"/>
      <c r="AZ1111" s="10"/>
      <c r="BA1111" s="10"/>
    </row>
    <row r="1112" spans="1:53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  <c r="AY1112" s="10"/>
      <c r="AZ1112" s="10"/>
      <c r="BA1112" s="10"/>
    </row>
    <row r="1113" spans="1:53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  <c r="AY1113" s="10"/>
      <c r="AZ1113" s="10"/>
      <c r="BA1113" s="10"/>
    </row>
    <row r="1114" spans="1:53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  <c r="AY1114" s="10"/>
      <c r="AZ1114" s="10"/>
      <c r="BA1114" s="10"/>
    </row>
    <row r="1115" spans="1:53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  <c r="AY1115" s="10"/>
      <c r="AZ1115" s="10"/>
      <c r="BA1115" s="10"/>
    </row>
    <row r="1116" spans="1:53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  <c r="AY1116" s="10"/>
      <c r="AZ1116" s="10"/>
      <c r="BA1116" s="10"/>
    </row>
    <row r="1117" spans="1:53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  <c r="AY1117" s="10"/>
      <c r="AZ1117" s="10"/>
      <c r="BA1117" s="10"/>
    </row>
    <row r="1118" spans="1:53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  <c r="AY1118" s="10"/>
      <c r="AZ1118" s="10"/>
      <c r="BA1118" s="10"/>
    </row>
    <row r="1119" spans="1:53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  <c r="AY1119" s="10"/>
      <c r="AZ1119" s="10"/>
      <c r="BA1119" s="10"/>
    </row>
    <row r="1120" spans="1:53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  <c r="AY1120" s="10"/>
      <c r="AZ1120" s="10"/>
      <c r="BA1120" s="10"/>
    </row>
    <row r="1121" spans="1:53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  <c r="AY1121" s="10"/>
      <c r="AZ1121" s="10"/>
      <c r="BA1121" s="10"/>
    </row>
    <row r="1122" spans="1:53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  <c r="AY1122" s="10"/>
      <c r="AZ1122" s="10"/>
      <c r="BA1122" s="10"/>
    </row>
    <row r="1123" spans="1:53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  <c r="AY1123" s="10"/>
      <c r="AZ1123" s="10"/>
      <c r="BA1123" s="10"/>
    </row>
    <row r="1124" spans="1:53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  <c r="AY1124" s="10"/>
      <c r="AZ1124" s="10"/>
      <c r="BA1124" s="10"/>
    </row>
    <row r="1125" spans="1:53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  <c r="AY1125" s="10"/>
      <c r="AZ1125" s="10"/>
      <c r="BA1125" s="10"/>
    </row>
    <row r="1126" spans="1:53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  <c r="AY1126" s="10"/>
      <c r="AZ1126" s="10"/>
      <c r="BA1126" s="10"/>
    </row>
    <row r="1127" spans="1:53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  <c r="AY1127" s="10"/>
      <c r="AZ1127" s="10"/>
      <c r="BA1127" s="10"/>
    </row>
    <row r="1128" spans="1:53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  <c r="AY1128" s="10"/>
      <c r="AZ1128" s="10"/>
      <c r="BA1128" s="10"/>
    </row>
    <row r="1129" spans="1:53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  <c r="AY1129" s="10"/>
      <c r="AZ1129" s="10"/>
      <c r="BA1129" s="10"/>
    </row>
    <row r="1130" spans="1:53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  <c r="AY1130" s="10"/>
      <c r="AZ1130" s="10"/>
      <c r="BA1130" s="10"/>
    </row>
    <row r="1131" spans="1:53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  <c r="AY1131" s="10"/>
      <c r="AZ1131" s="10"/>
      <c r="BA1131" s="10"/>
    </row>
    <row r="1132" spans="1:53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  <c r="AY1132" s="10"/>
      <c r="AZ1132" s="10"/>
      <c r="BA1132" s="10"/>
    </row>
    <row r="1133" spans="1:53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  <c r="AY1133" s="10"/>
      <c r="AZ1133" s="10"/>
      <c r="BA1133" s="10"/>
    </row>
    <row r="1134" spans="1:53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  <c r="AY1134" s="10"/>
      <c r="AZ1134" s="10"/>
      <c r="BA1134" s="10"/>
    </row>
    <row r="1135" spans="1:53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  <c r="AY1135" s="10"/>
      <c r="AZ1135" s="10"/>
      <c r="BA1135" s="10"/>
    </row>
    <row r="1136" spans="1:53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  <c r="AY1136" s="10"/>
      <c r="AZ1136" s="10"/>
      <c r="BA1136" s="10"/>
    </row>
    <row r="1137" spans="1:53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  <c r="AY1137" s="10"/>
      <c r="AZ1137" s="10"/>
      <c r="BA1137" s="10"/>
    </row>
    <row r="1138" spans="1:53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  <c r="AY1138" s="10"/>
      <c r="AZ1138" s="10"/>
      <c r="BA1138" s="10"/>
    </row>
    <row r="1139" spans="1:53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  <c r="AY1139" s="10"/>
      <c r="AZ1139" s="10"/>
      <c r="BA1139" s="10"/>
    </row>
    <row r="1140" spans="1:53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  <c r="AY1140" s="10"/>
      <c r="AZ1140" s="10"/>
      <c r="BA1140" s="10"/>
    </row>
    <row r="1141" spans="1:53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  <c r="AY1141" s="10"/>
      <c r="AZ1141" s="10"/>
      <c r="BA1141" s="10"/>
    </row>
    <row r="1142" spans="1:53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  <c r="AY1142" s="10"/>
      <c r="AZ1142" s="10"/>
      <c r="BA1142" s="10"/>
    </row>
    <row r="1143" spans="1:53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  <c r="AY1143" s="10"/>
      <c r="AZ1143" s="10"/>
      <c r="BA1143" s="10"/>
    </row>
    <row r="1144" spans="1:53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  <c r="AY1144" s="10"/>
      <c r="AZ1144" s="10"/>
      <c r="BA1144" s="10"/>
    </row>
    <row r="1145" spans="1:53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  <c r="AY1145" s="10"/>
      <c r="AZ1145" s="10"/>
      <c r="BA1145" s="10"/>
    </row>
    <row r="1146" spans="1:53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  <c r="AY1146" s="10"/>
      <c r="AZ1146" s="10"/>
      <c r="BA1146" s="10"/>
    </row>
    <row r="1147" spans="1:53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  <c r="AY1147" s="10"/>
      <c r="AZ1147" s="10"/>
      <c r="BA1147" s="10"/>
    </row>
    <row r="1148" spans="1:53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  <c r="AY1148" s="10"/>
      <c r="AZ1148" s="10"/>
      <c r="BA1148" s="10"/>
    </row>
    <row r="1149" spans="1:53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  <c r="AY1149" s="10"/>
      <c r="AZ1149" s="10"/>
      <c r="BA1149" s="10"/>
    </row>
    <row r="1150" spans="1:53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  <c r="AY1150" s="10"/>
      <c r="AZ1150" s="10"/>
      <c r="BA1150" s="10"/>
    </row>
    <row r="1151" spans="1:53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  <c r="AY1151" s="10"/>
      <c r="AZ1151" s="10"/>
      <c r="BA1151" s="10"/>
    </row>
    <row r="1152" spans="1:53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  <c r="AY1152" s="10"/>
      <c r="AZ1152" s="10"/>
      <c r="BA1152" s="10"/>
    </row>
    <row r="1153" spans="1:53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  <c r="AY1153" s="10"/>
      <c r="AZ1153" s="10"/>
      <c r="BA1153" s="10"/>
    </row>
    <row r="1154" spans="1:53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  <c r="AY1154" s="10"/>
      <c r="AZ1154" s="10"/>
      <c r="BA1154" s="10"/>
    </row>
    <row r="1155" spans="1:53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  <c r="AY1155" s="10"/>
      <c r="AZ1155" s="10"/>
      <c r="BA1155" s="10"/>
    </row>
    <row r="1156" spans="1:53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  <c r="AY1156" s="10"/>
      <c r="AZ1156" s="10"/>
      <c r="BA1156" s="10"/>
    </row>
    <row r="1157" spans="1:53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  <c r="AY1157" s="10"/>
      <c r="AZ1157" s="10"/>
      <c r="BA1157" s="10"/>
    </row>
    <row r="1158" spans="1:53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  <c r="AY1158" s="10"/>
      <c r="AZ1158" s="10"/>
      <c r="BA1158" s="10"/>
    </row>
    <row r="1159" spans="1:53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  <c r="AY1159" s="10"/>
      <c r="AZ1159" s="10"/>
      <c r="BA1159" s="10"/>
    </row>
    <row r="1160" spans="1:53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  <c r="AY1160" s="10"/>
      <c r="AZ1160" s="10"/>
      <c r="BA1160" s="10"/>
    </row>
    <row r="1161" spans="1:53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  <c r="AY1161" s="10"/>
      <c r="AZ1161" s="10"/>
      <c r="BA1161" s="10"/>
    </row>
    <row r="1162" spans="1:53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  <c r="AY1162" s="10"/>
      <c r="AZ1162" s="10"/>
      <c r="BA1162" s="10"/>
    </row>
    <row r="1163" spans="1:53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  <c r="AY1163" s="10"/>
      <c r="AZ1163" s="10"/>
      <c r="BA1163" s="10"/>
    </row>
    <row r="1164" spans="1:53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  <c r="AY1164" s="10"/>
      <c r="AZ1164" s="10"/>
      <c r="BA1164" s="10"/>
    </row>
    <row r="1165" spans="1:53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  <c r="AY1165" s="10"/>
      <c r="AZ1165" s="10"/>
      <c r="BA1165" s="10"/>
    </row>
    <row r="1166" spans="1:53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  <c r="AY1166" s="10"/>
      <c r="AZ1166" s="10"/>
      <c r="BA1166" s="10"/>
    </row>
    <row r="1167" spans="1:53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  <c r="AY1167" s="10"/>
      <c r="AZ1167" s="10"/>
      <c r="BA1167" s="10"/>
    </row>
    <row r="1168" spans="1:53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  <c r="AY1168" s="10"/>
      <c r="AZ1168" s="10"/>
      <c r="BA1168" s="10"/>
    </row>
    <row r="1169" spans="1:53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  <c r="AY1169" s="10"/>
      <c r="AZ1169" s="10"/>
      <c r="BA1169" s="10"/>
    </row>
    <row r="1170" spans="1:53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  <c r="AY1170" s="10"/>
      <c r="AZ1170" s="10"/>
      <c r="BA1170" s="10"/>
    </row>
    <row r="1171" spans="1:53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  <c r="AY1171" s="10"/>
      <c r="AZ1171" s="10"/>
      <c r="BA1171" s="10"/>
    </row>
    <row r="1172" spans="1:53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  <c r="AY1172" s="10"/>
      <c r="AZ1172" s="10"/>
      <c r="BA1172" s="10"/>
    </row>
    <row r="1173" spans="1:53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  <c r="AY1173" s="10"/>
      <c r="AZ1173" s="10"/>
      <c r="BA1173" s="10"/>
    </row>
    <row r="1174" spans="1:53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  <c r="AY1174" s="10"/>
      <c r="AZ1174" s="10"/>
      <c r="BA1174" s="10"/>
    </row>
    <row r="1175" spans="1:53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  <c r="AY1175" s="10"/>
      <c r="AZ1175" s="10"/>
      <c r="BA1175" s="10"/>
    </row>
    <row r="1176" spans="1:53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  <c r="AY1176" s="10"/>
      <c r="AZ1176" s="10"/>
      <c r="BA1176" s="10"/>
    </row>
    <row r="1177" spans="1:53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  <c r="AY1177" s="10"/>
      <c r="AZ1177" s="10"/>
      <c r="BA1177" s="10"/>
    </row>
    <row r="1178" spans="1:53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  <c r="AY1178" s="10"/>
      <c r="AZ1178" s="10"/>
      <c r="BA1178" s="10"/>
    </row>
    <row r="1179" spans="1:53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  <c r="AY1179" s="10"/>
      <c r="AZ1179" s="10"/>
      <c r="BA1179" s="10"/>
    </row>
    <row r="1180" spans="1:53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  <c r="AY1180" s="10"/>
      <c r="AZ1180" s="10"/>
      <c r="BA1180" s="10"/>
    </row>
    <row r="1181" spans="1:53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  <c r="AY1181" s="10"/>
      <c r="AZ1181" s="10"/>
      <c r="BA1181" s="10"/>
    </row>
    <row r="1182" spans="1:53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  <c r="AY1182" s="10"/>
      <c r="AZ1182" s="10"/>
      <c r="BA1182" s="10"/>
    </row>
    <row r="1183" spans="1:53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  <c r="AY1183" s="10"/>
      <c r="AZ1183" s="10"/>
      <c r="BA1183" s="10"/>
    </row>
    <row r="1184" spans="1:53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  <c r="AY1184" s="10"/>
      <c r="AZ1184" s="10"/>
      <c r="BA1184" s="10"/>
    </row>
    <row r="1185" spans="1:53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  <c r="AY1185" s="10"/>
      <c r="AZ1185" s="10"/>
      <c r="BA1185" s="10"/>
    </row>
    <row r="1186" spans="1:53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  <c r="AY1186" s="10"/>
      <c r="AZ1186" s="10"/>
      <c r="BA1186" s="10"/>
    </row>
    <row r="1187" spans="1:53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  <c r="AY1187" s="10"/>
      <c r="AZ1187" s="10"/>
      <c r="BA1187" s="10"/>
    </row>
    <row r="1188" spans="1:53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  <c r="AY1188" s="10"/>
      <c r="AZ1188" s="10"/>
      <c r="BA1188" s="10"/>
    </row>
    <row r="1189" spans="1:53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  <c r="AY1189" s="10"/>
      <c r="AZ1189" s="10"/>
      <c r="BA1189" s="10"/>
    </row>
    <row r="1190" spans="1:53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  <c r="AY1190" s="10"/>
      <c r="AZ1190" s="10"/>
      <c r="BA1190" s="10"/>
    </row>
    <row r="1191" spans="1:53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  <c r="AY1191" s="10"/>
      <c r="AZ1191" s="10"/>
      <c r="BA1191" s="10"/>
    </row>
    <row r="1192" spans="1:53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  <c r="AY1192" s="10"/>
      <c r="AZ1192" s="10"/>
      <c r="BA1192" s="10"/>
    </row>
    <row r="1193" spans="1:53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  <c r="AY1193" s="10"/>
      <c r="AZ1193" s="10"/>
      <c r="BA1193" s="10"/>
    </row>
    <row r="1194" spans="1:53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  <c r="AY1194" s="10"/>
      <c r="AZ1194" s="10"/>
      <c r="BA1194" s="10"/>
    </row>
    <row r="1195" spans="1:53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  <c r="AY1195" s="10"/>
      <c r="AZ1195" s="10"/>
      <c r="BA1195" s="10"/>
    </row>
    <row r="1196" spans="1:53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  <c r="AY1196" s="10"/>
      <c r="AZ1196" s="10"/>
      <c r="BA1196" s="10"/>
    </row>
    <row r="1197" spans="1:53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  <c r="AY1197" s="10"/>
      <c r="AZ1197" s="10"/>
      <c r="BA1197" s="10"/>
    </row>
    <row r="1198" spans="1:53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  <c r="AY1198" s="10"/>
      <c r="AZ1198" s="10"/>
      <c r="BA1198" s="10"/>
    </row>
    <row r="1199" spans="1:53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  <c r="AY1199" s="10"/>
      <c r="AZ1199" s="10"/>
      <c r="BA1199" s="10"/>
    </row>
    <row r="1200" spans="1:53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  <c r="AY1200" s="10"/>
      <c r="AZ1200" s="10"/>
      <c r="BA1200" s="10"/>
    </row>
    <row r="1201" spans="1:53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  <c r="AY1201" s="10"/>
      <c r="AZ1201" s="10"/>
      <c r="BA1201" s="10"/>
    </row>
    <row r="1202" spans="1:53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  <c r="AY1202" s="10"/>
      <c r="AZ1202" s="10"/>
      <c r="BA1202" s="10"/>
    </row>
    <row r="1203" spans="1:53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  <c r="AY1203" s="10"/>
      <c r="AZ1203" s="10"/>
      <c r="BA1203" s="10"/>
    </row>
    <row r="1204" spans="1:53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  <c r="AY1204" s="10"/>
      <c r="AZ1204" s="10"/>
      <c r="BA1204" s="10"/>
    </row>
    <row r="1205" spans="1:53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  <c r="AY1205" s="10"/>
      <c r="AZ1205" s="10"/>
      <c r="BA1205" s="10"/>
    </row>
    <row r="1206" spans="1:53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  <c r="AY1206" s="10"/>
      <c r="AZ1206" s="10"/>
      <c r="BA1206" s="10"/>
    </row>
    <row r="1207" spans="1:53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  <c r="AY1207" s="10"/>
      <c r="AZ1207" s="10"/>
      <c r="BA1207" s="10"/>
    </row>
    <row r="1208" spans="1:53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  <c r="AY1208" s="10"/>
      <c r="AZ1208" s="10"/>
      <c r="BA1208" s="10"/>
    </row>
    <row r="1209" spans="1:53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  <c r="AY1209" s="10"/>
      <c r="AZ1209" s="10"/>
      <c r="BA1209" s="10"/>
    </row>
    <row r="1210" spans="1:53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  <c r="AY1210" s="10"/>
      <c r="AZ1210" s="10"/>
      <c r="BA1210" s="10"/>
    </row>
    <row r="1211" spans="1:53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  <c r="AY1211" s="10"/>
      <c r="AZ1211" s="10"/>
      <c r="BA1211" s="10"/>
    </row>
    <row r="1212" spans="1:53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  <c r="AY1212" s="10"/>
      <c r="AZ1212" s="10"/>
      <c r="BA1212" s="10"/>
    </row>
    <row r="1213" spans="1:53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  <c r="AY1213" s="10"/>
      <c r="AZ1213" s="10"/>
      <c r="BA1213" s="10"/>
    </row>
    <row r="1214" spans="1:53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  <c r="AY1214" s="10"/>
      <c r="AZ1214" s="10"/>
      <c r="BA1214" s="10"/>
    </row>
    <row r="1215" spans="1:53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  <c r="AY1215" s="10"/>
      <c r="AZ1215" s="10"/>
      <c r="BA1215" s="10"/>
    </row>
    <row r="1216" spans="1:53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  <c r="AY1216" s="10"/>
      <c r="AZ1216" s="10"/>
      <c r="BA1216" s="10"/>
    </row>
    <row r="1217" spans="1:53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  <c r="AY1217" s="10"/>
      <c r="AZ1217" s="10"/>
      <c r="BA1217" s="10"/>
    </row>
    <row r="1218" spans="1:53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  <c r="AY1218" s="10"/>
      <c r="AZ1218" s="10"/>
      <c r="BA1218" s="10"/>
    </row>
    <row r="1219" spans="1:53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  <c r="AY1219" s="10"/>
      <c r="AZ1219" s="10"/>
      <c r="BA1219" s="10"/>
    </row>
    <row r="1220" spans="1:53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  <c r="AY1220" s="10"/>
      <c r="AZ1220" s="10"/>
      <c r="BA1220" s="10"/>
    </row>
    <row r="1221" spans="1:53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  <c r="AY1221" s="10"/>
      <c r="AZ1221" s="10"/>
      <c r="BA1221" s="10"/>
    </row>
    <row r="1222" spans="1:53" x14ac:dyDescent="0.25"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  <c r="AY1222" s="10"/>
      <c r="AZ1222" s="10"/>
      <c r="BA1222" s="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extBox1">
          <controlPr defaultSize="0" autoLine="0" autoPict="0" r:id="rId4">
            <anchor moveWithCells="1">
              <from>
                <xdr:col>0</xdr:col>
                <xdr:colOff>9525</xdr:colOff>
                <xdr:row>5</xdr:row>
                <xdr:rowOff>190500</xdr:rowOff>
              </from>
              <to>
                <xdr:col>2</xdr:col>
                <xdr:colOff>800100</xdr:colOff>
                <xdr:row>6</xdr:row>
                <xdr:rowOff>219075</xdr:rowOff>
              </to>
            </anchor>
          </controlPr>
        </control>
      </mc:Choice>
      <mc:Fallback>
        <control shapeId="14340" r:id="rId3" name="TextBox1"/>
      </mc:Fallback>
    </mc:AlternateContent>
    <mc:AlternateContent xmlns:mc="http://schemas.openxmlformats.org/markup-compatibility/2006">
      <mc:Choice Requires="x14">
        <control shapeId="14337" r:id="rId5" name="Button 1">
          <controlPr defaultSize="0" print="0" autoFill="0" autoPict="0" macro="[0]!AÑO2019GUARDAR">
            <anchor moveWithCells="1" sizeWithCells="1">
              <from>
                <xdr:col>3</xdr:col>
                <xdr:colOff>352425</xdr:colOff>
                <xdr:row>7</xdr:row>
                <xdr:rowOff>28575</xdr:rowOff>
              </from>
              <to>
                <xdr:col>4</xdr:col>
                <xdr:colOff>2352675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8" r:id="rId6" name="Button 2">
          <controlPr defaultSize="0" print="0" autoFill="0" autoPict="0" macro="[0]!_xlnm.Database">
            <anchor moveWithCells="1" sizeWithCells="1">
              <from>
                <xdr:col>5</xdr:col>
                <xdr:colOff>0</xdr:colOff>
                <xdr:row>7</xdr:row>
                <xdr:rowOff>28575</xdr:rowOff>
              </from>
              <to>
                <xdr:col>6</xdr:col>
                <xdr:colOff>0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9" r:id="rId7" name="Button 3">
          <controlPr defaultSize="0" print="0" autoFill="0" autoPict="0" macro="[0]!MENU">
            <anchor moveWithCells="1" sizeWithCells="1">
              <from>
                <xdr:col>6</xdr:col>
                <xdr:colOff>9525</xdr:colOff>
                <xdr:row>7</xdr:row>
                <xdr:rowOff>9525</xdr:rowOff>
              </from>
              <to>
                <xdr:col>6</xdr:col>
                <xdr:colOff>752475</xdr:colOff>
                <xdr:row>9</xdr:row>
                <xdr:rowOff>47625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39AF9-A1F8-4CEE-9713-98AF43CFFE61}">
  <sheetPr codeName="Hoja9">
    <tabColor rgb="FF66FFFF"/>
  </sheetPr>
  <dimension ref="A1:P1083"/>
  <sheetViews>
    <sheetView workbookViewId="0">
      <selection activeCell="C11" sqref="C11"/>
    </sheetView>
  </sheetViews>
  <sheetFormatPr baseColWidth="10" defaultRowHeight="15" x14ac:dyDescent="0.25"/>
  <cols>
    <col min="1" max="1" width="51.5703125" customWidth="1"/>
    <col min="2" max="2" width="20.140625" customWidth="1"/>
    <col min="3" max="3" width="12" customWidth="1"/>
    <col min="4" max="4" width="6.42578125" customWidth="1"/>
    <col min="5" max="5" width="36.140625" customWidth="1"/>
    <col min="6" max="6" width="24" customWidth="1"/>
  </cols>
  <sheetData>
    <row r="1" spans="1:1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ht="15.75" thickBot="1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ht="27" thickBot="1" x14ac:dyDescent="0.45">
      <c r="A6" s="11"/>
      <c r="B6" s="11"/>
      <c r="C6" s="11"/>
      <c r="D6" s="11"/>
      <c r="E6" s="52" t="s">
        <v>3</v>
      </c>
      <c r="F6" s="53" t="s">
        <v>1</v>
      </c>
      <c r="G6" s="51" t="s">
        <v>2</v>
      </c>
      <c r="H6" s="11"/>
      <c r="I6" s="11"/>
      <c r="J6" s="11"/>
      <c r="K6" s="11"/>
      <c r="L6" s="11"/>
      <c r="M6" s="11"/>
      <c r="N6" s="11"/>
      <c r="O6" s="11"/>
      <c r="P6" s="11"/>
    </row>
    <row r="7" spans="1:16" ht="19.5" thickBot="1" x14ac:dyDescent="0.35">
      <c r="A7" s="11"/>
      <c r="B7" s="11"/>
      <c r="C7" s="11"/>
      <c r="D7" s="11"/>
      <c r="E7" s="25"/>
      <c r="F7" s="25" t="s">
        <v>31</v>
      </c>
      <c r="G7" s="57" t="s">
        <v>144</v>
      </c>
      <c r="H7" s="11"/>
      <c r="I7" s="11"/>
      <c r="J7" s="11"/>
      <c r="K7" s="11"/>
      <c r="L7" s="11"/>
      <c r="M7" s="11"/>
      <c r="N7" s="11"/>
      <c r="O7" s="11"/>
      <c r="P7" s="11"/>
    </row>
    <row r="8" spans="1:16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ht="15.75" thickBot="1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 ht="19.5" thickBot="1" x14ac:dyDescent="0.35">
      <c r="A11" s="84" t="s">
        <v>4</v>
      </c>
      <c r="B11" s="32" t="s">
        <v>1</v>
      </c>
      <c r="C11" s="32" t="s">
        <v>2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 ht="19.5" thickBot="1" x14ac:dyDescent="0.35">
      <c r="A12" s="25" t="s">
        <v>43</v>
      </c>
      <c r="B12" s="33" t="s">
        <v>31</v>
      </c>
      <c r="C12" s="24" t="s">
        <v>118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 ht="19.5" thickBot="1" x14ac:dyDescent="0.35">
      <c r="A13" s="25" t="s">
        <v>45</v>
      </c>
      <c r="B13" s="33" t="s">
        <v>31</v>
      </c>
      <c r="C13" s="24" t="s">
        <v>119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 ht="19.5" thickBot="1" x14ac:dyDescent="0.35">
      <c r="A14" s="25" t="s">
        <v>34</v>
      </c>
      <c r="B14" s="33" t="s">
        <v>31</v>
      </c>
      <c r="C14" s="24" t="s">
        <v>120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 ht="19.5" customHeight="1" thickBot="1" x14ac:dyDescent="0.45">
      <c r="A15" s="25" t="s">
        <v>51</v>
      </c>
      <c r="B15" s="33" t="s">
        <v>31</v>
      </c>
      <c r="C15" s="24" t="s">
        <v>121</v>
      </c>
      <c r="D15" s="11"/>
      <c r="E15" s="12"/>
      <c r="F15" s="12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ht="19.5" thickBot="1" x14ac:dyDescent="0.35">
      <c r="A16" s="25" t="s">
        <v>39</v>
      </c>
      <c r="B16" s="33" t="s">
        <v>31</v>
      </c>
      <c r="C16" s="24" t="s">
        <v>122</v>
      </c>
      <c r="D16" s="11"/>
      <c r="E16" s="13"/>
      <c r="F16" s="13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 ht="19.5" thickBot="1" x14ac:dyDescent="0.35">
      <c r="A17" s="25" t="s">
        <v>56</v>
      </c>
      <c r="B17" s="33" t="s">
        <v>31</v>
      </c>
      <c r="C17" s="24" t="s">
        <v>123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ht="19.5" thickBot="1" x14ac:dyDescent="0.35">
      <c r="A18" s="25" t="s">
        <v>30</v>
      </c>
      <c r="B18" s="33" t="s">
        <v>31</v>
      </c>
      <c r="C18" s="24" t="s">
        <v>124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ht="19.5" thickBot="1" x14ac:dyDescent="0.35">
      <c r="A19" s="25" t="s">
        <v>36</v>
      </c>
      <c r="B19" s="33" t="s">
        <v>31</v>
      </c>
      <c r="C19" s="24" t="s">
        <v>125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ht="19.5" thickBot="1" x14ac:dyDescent="0.35">
      <c r="A20" s="25" t="s">
        <v>48</v>
      </c>
      <c r="B20" s="33" t="s">
        <v>31</v>
      </c>
      <c r="C20" s="24" t="s">
        <v>126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ht="19.5" thickBot="1" x14ac:dyDescent="0.35">
      <c r="A21" s="25" t="s">
        <v>55</v>
      </c>
      <c r="B21" s="33" t="s">
        <v>31</v>
      </c>
      <c r="C21" s="24" t="s">
        <v>127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ht="19.5" thickBot="1" x14ac:dyDescent="0.35">
      <c r="A22" s="25" t="s">
        <v>33</v>
      </c>
      <c r="B22" s="33" t="s">
        <v>31</v>
      </c>
      <c r="C22" s="24" t="s">
        <v>128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ht="19.5" thickBot="1" x14ac:dyDescent="0.35">
      <c r="A23" s="25" t="s">
        <v>46</v>
      </c>
      <c r="B23" s="33" t="s">
        <v>31</v>
      </c>
      <c r="C23" s="24" t="s">
        <v>129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ht="19.5" thickBot="1" x14ac:dyDescent="0.35">
      <c r="A24" s="25" t="s">
        <v>32</v>
      </c>
      <c r="B24" s="33" t="s">
        <v>31</v>
      </c>
      <c r="C24" s="24" t="s">
        <v>130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ht="19.5" thickBot="1" x14ac:dyDescent="0.35">
      <c r="A25" s="25" t="s">
        <v>44</v>
      </c>
      <c r="B25" s="33" t="s">
        <v>31</v>
      </c>
      <c r="C25" s="24" t="s">
        <v>131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ht="19.5" thickBot="1" x14ac:dyDescent="0.35">
      <c r="A26" s="25" t="s">
        <v>42</v>
      </c>
      <c r="B26" s="33" t="s">
        <v>31</v>
      </c>
      <c r="C26" s="24" t="s">
        <v>132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 ht="19.5" thickBot="1" x14ac:dyDescent="0.35">
      <c r="A27" s="25" t="s">
        <v>40</v>
      </c>
      <c r="B27" s="33" t="s">
        <v>31</v>
      </c>
      <c r="C27" s="24" t="s">
        <v>133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ht="19.5" thickBot="1" x14ac:dyDescent="0.35">
      <c r="A28" s="25" t="s">
        <v>41</v>
      </c>
      <c r="B28" s="33" t="s">
        <v>31</v>
      </c>
      <c r="C28" s="24" t="s">
        <v>134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 ht="19.5" thickBot="1" x14ac:dyDescent="0.35">
      <c r="A29" s="25" t="s">
        <v>50</v>
      </c>
      <c r="B29" s="33" t="s">
        <v>31</v>
      </c>
      <c r="C29" s="24" t="s">
        <v>135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 ht="19.5" thickBot="1" x14ac:dyDescent="0.35">
      <c r="A30" s="25" t="s">
        <v>54</v>
      </c>
      <c r="B30" s="33" t="s">
        <v>31</v>
      </c>
      <c r="C30" s="24" t="s">
        <v>136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 ht="19.5" thickBot="1" x14ac:dyDescent="0.35">
      <c r="A31" s="25" t="s">
        <v>38</v>
      </c>
      <c r="B31" s="33" t="s">
        <v>31</v>
      </c>
      <c r="C31" s="24" t="s">
        <v>137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 ht="19.5" thickBot="1" x14ac:dyDescent="0.35">
      <c r="A32" s="25" t="s">
        <v>52</v>
      </c>
      <c r="B32" s="33" t="s">
        <v>31</v>
      </c>
      <c r="C32" s="24" t="s">
        <v>138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 ht="19.5" thickBot="1" x14ac:dyDescent="0.35">
      <c r="A33" s="25" t="s">
        <v>35</v>
      </c>
      <c r="B33" s="33" t="s">
        <v>31</v>
      </c>
      <c r="C33" s="24" t="s">
        <v>139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 ht="19.5" thickBot="1" x14ac:dyDescent="0.35">
      <c r="A34" s="25" t="s">
        <v>47</v>
      </c>
      <c r="B34" s="33" t="s">
        <v>31</v>
      </c>
      <c r="C34" s="24" t="s">
        <v>140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 ht="19.5" thickBot="1" x14ac:dyDescent="0.35">
      <c r="A35" s="25" t="s">
        <v>53</v>
      </c>
      <c r="B35" s="33" t="s">
        <v>31</v>
      </c>
      <c r="C35" s="24" t="s">
        <v>141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 ht="19.5" thickBot="1" x14ac:dyDescent="0.35">
      <c r="A36" s="25" t="s">
        <v>49</v>
      </c>
      <c r="B36" s="33" t="s">
        <v>31</v>
      </c>
      <c r="C36" s="24" t="s">
        <v>142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1:16" ht="19.5" thickBot="1" x14ac:dyDescent="0.35">
      <c r="A37" s="25" t="s">
        <v>37</v>
      </c>
      <c r="B37" s="33" t="s">
        <v>31</v>
      </c>
      <c r="C37" s="24" t="s">
        <v>143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1:16" ht="19.5" thickBot="1" x14ac:dyDescent="0.35">
      <c r="A38" s="24" t="s">
        <v>9</v>
      </c>
      <c r="B38" s="24"/>
      <c r="C38" s="24">
        <f>SUBTOTAL(103,Tabla4[FICHA])</f>
        <v>26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1:16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1:16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  <row r="41" spans="1:16" ht="26.25" x14ac:dyDescent="0.4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</row>
    <row r="42" spans="1:16" ht="18.75" x14ac:dyDescent="0.3">
      <c r="A42" s="11"/>
      <c r="B42" s="11"/>
      <c r="C42" s="11"/>
      <c r="D42" s="11"/>
      <c r="E42" s="13"/>
      <c r="F42" s="13"/>
      <c r="G42" s="11"/>
      <c r="H42" s="11"/>
      <c r="I42" s="11"/>
      <c r="J42" s="11"/>
      <c r="K42" s="11"/>
      <c r="L42" s="11"/>
      <c r="M42" s="11"/>
      <c r="N42" s="11"/>
      <c r="O42" s="11"/>
      <c r="P42" s="11"/>
    </row>
    <row r="43" spans="1:16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</row>
    <row r="44" spans="1:16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</row>
    <row r="45" spans="1:16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</row>
    <row r="46" spans="1:16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</row>
    <row r="47" spans="1:16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</row>
    <row r="48" spans="1:16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</row>
    <row r="49" spans="1:16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</row>
    <row r="50" spans="1:16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</row>
    <row r="51" spans="1:16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</row>
    <row r="52" spans="1:16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</row>
    <row r="53" spans="1:16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</row>
    <row r="54" spans="1:16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</row>
    <row r="55" spans="1:16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</row>
    <row r="56" spans="1:16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</row>
    <row r="57" spans="1:16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</row>
    <row r="58" spans="1:16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</row>
    <row r="59" spans="1:16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</row>
    <row r="60" spans="1:16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</row>
    <row r="61" spans="1:16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</row>
    <row r="62" spans="1:16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</row>
    <row r="63" spans="1:16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</row>
    <row r="64" spans="1:16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</row>
    <row r="65" spans="1:16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</row>
    <row r="66" spans="1:16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</row>
    <row r="67" spans="1:16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</row>
    <row r="68" spans="1:16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</row>
    <row r="69" spans="1:16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</row>
    <row r="70" spans="1:16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</row>
    <row r="71" spans="1:16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</row>
    <row r="72" spans="1:16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</row>
    <row r="73" spans="1:16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</row>
    <row r="74" spans="1:16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</row>
    <row r="75" spans="1:16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</row>
    <row r="76" spans="1:16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</row>
    <row r="77" spans="1:16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</row>
    <row r="78" spans="1:16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</row>
    <row r="79" spans="1:16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</row>
    <row r="80" spans="1:16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</row>
    <row r="81" spans="1:16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</row>
    <row r="82" spans="1:16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</row>
    <row r="83" spans="1:16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</row>
    <row r="84" spans="1:16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</row>
    <row r="85" spans="1:16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</row>
    <row r="86" spans="1:16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</row>
    <row r="87" spans="1:16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</row>
    <row r="88" spans="1:16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</row>
    <row r="89" spans="1:16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</row>
    <row r="90" spans="1:16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</row>
    <row r="91" spans="1:16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</row>
    <row r="92" spans="1:16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</row>
    <row r="93" spans="1:16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</row>
    <row r="94" spans="1:16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</row>
    <row r="95" spans="1:16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</row>
    <row r="96" spans="1:16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</row>
    <row r="97" spans="1:16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</row>
    <row r="98" spans="1:16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</row>
    <row r="99" spans="1:16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</row>
    <row r="100" spans="1:16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</row>
    <row r="101" spans="1:16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</row>
    <row r="102" spans="1:16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</row>
    <row r="103" spans="1:16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</row>
    <row r="104" spans="1:16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</row>
    <row r="105" spans="1:16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</row>
    <row r="106" spans="1:16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</row>
    <row r="107" spans="1:16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</row>
    <row r="108" spans="1:16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</row>
    <row r="109" spans="1:16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</row>
    <row r="110" spans="1:16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</row>
    <row r="111" spans="1:16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</row>
    <row r="112" spans="1:16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</row>
    <row r="113" spans="1:16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</row>
    <row r="114" spans="1:16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</row>
    <row r="115" spans="1:16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</row>
    <row r="116" spans="1:16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</row>
    <row r="117" spans="1:16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</row>
    <row r="118" spans="1:16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</row>
    <row r="119" spans="1:16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</row>
    <row r="120" spans="1:16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</row>
    <row r="121" spans="1:16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</row>
    <row r="122" spans="1:16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</row>
    <row r="123" spans="1:16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</row>
    <row r="124" spans="1:16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</row>
    <row r="125" spans="1:16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</row>
    <row r="126" spans="1:16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</row>
    <row r="127" spans="1:16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</row>
    <row r="128" spans="1:16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</row>
    <row r="129" spans="1:16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</row>
    <row r="130" spans="1:16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</row>
    <row r="131" spans="1:16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</row>
    <row r="132" spans="1:16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</row>
    <row r="133" spans="1:16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</row>
    <row r="134" spans="1:16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</row>
    <row r="135" spans="1:16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</row>
    <row r="136" spans="1:16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</row>
    <row r="137" spans="1:16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</row>
    <row r="138" spans="1:16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</row>
    <row r="139" spans="1:16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</row>
    <row r="140" spans="1:16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</row>
    <row r="141" spans="1:16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</row>
    <row r="142" spans="1:16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</row>
    <row r="143" spans="1:16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</row>
    <row r="144" spans="1:16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</row>
    <row r="145" spans="1:16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</row>
    <row r="146" spans="1:16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</row>
    <row r="147" spans="1:16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</row>
    <row r="148" spans="1:16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</row>
    <row r="149" spans="1:16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</row>
    <row r="150" spans="1:16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</row>
    <row r="151" spans="1:16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</row>
    <row r="152" spans="1:16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</row>
    <row r="153" spans="1:16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</row>
    <row r="154" spans="1:16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</row>
    <row r="155" spans="1:16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</row>
    <row r="156" spans="1:16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</row>
    <row r="157" spans="1:16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</row>
    <row r="158" spans="1:16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</row>
    <row r="159" spans="1:16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</row>
    <row r="160" spans="1:16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</row>
    <row r="161" spans="1:16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</row>
    <row r="162" spans="1:16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</row>
    <row r="163" spans="1:16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</row>
    <row r="164" spans="1:16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</row>
    <row r="165" spans="1:16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</row>
    <row r="166" spans="1:16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</row>
    <row r="167" spans="1:16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</row>
    <row r="168" spans="1:16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</row>
    <row r="169" spans="1:16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</row>
    <row r="170" spans="1:16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</row>
    <row r="171" spans="1:16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</row>
    <row r="172" spans="1:16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</row>
    <row r="173" spans="1:16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</row>
    <row r="174" spans="1:16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</row>
    <row r="175" spans="1:16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</row>
    <row r="176" spans="1:16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</row>
    <row r="177" spans="1:16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</row>
    <row r="178" spans="1:16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</row>
    <row r="179" spans="1:16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</row>
    <row r="180" spans="1:16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</row>
    <row r="181" spans="1:16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</row>
    <row r="182" spans="1:16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</row>
    <row r="183" spans="1:16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</row>
    <row r="184" spans="1:16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</row>
    <row r="185" spans="1:16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</row>
    <row r="186" spans="1:16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</row>
    <row r="187" spans="1:16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</row>
    <row r="188" spans="1:16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</row>
    <row r="189" spans="1:16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</row>
    <row r="190" spans="1:16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</row>
    <row r="191" spans="1:16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</row>
    <row r="192" spans="1:16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</row>
    <row r="193" spans="1:16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</row>
    <row r="194" spans="1:16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</row>
    <row r="195" spans="1:16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</row>
    <row r="196" spans="1:16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</row>
    <row r="197" spans="1:16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</row>
    <row r="198" spans="1:16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</row>
    <row r="199" spans="1:16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</row>
    <row r="200" spans="1:16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</row>
    <row r="201" spans="1:16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</row>
    <row r="202" spans="1:16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</row>
    <row r="203" spans="1:16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</row>
    <row r="204" spans="1:16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</row>
    <row r="205" spans="1:16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</row>
    <row r="206" spans="1:16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</row>
    <row r="207" spans="1:16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</row>
    <row r="208" spans="1:16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</row>
    <row r="209" spans="1:16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</row>
    <row r="210" spans="1:16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</row>
    <row r="211" spans="1:16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</row>
    <row r="212" spans="1:16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</row>
    <row r="213" spans="1:16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</row>
    <row r="214" spans="1:16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</row>
    <row r="215" spans="1:16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</row>
    <row r="216" spans="1:16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</row>
    <row r="217" spans="1:16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</row>
    <row r="218" spans="1:16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</row>
    <row r="219" spans="1:16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</row>
    <row r="220" spans="1:16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</row>
    <row r="221" spans="1:16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</row>
    <row r="222" spans="1:16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</row>
    <row r="223" spans="1:16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</row>
    <row r="224" spans="1:16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</row>
    <row r="225" spans="1:16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</row>
    <row r="226" spans="1:16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</row>
    <row r="227" spans="1:16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</row>
    <row r="228" spans="1:16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</row>
    <row r="229" spans="1:16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</row>
    <row r="230" spans="1:16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</row>
    <row r="231" spans="1:16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</row>
    <row r="232" spans="1:16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</row>
    <row r="233" spans="1:16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</row>
    <row r="234" spans="1:16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</row>
    <row r="235" spans="1:16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</row>
    <row r="236" spans="1:16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</row>
    <row r="237" spans="1:16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</row>
    <row r="238" spans="1:16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</row>
    <row r="239" spans="1:16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</row>
    <row r="240" spans="1:16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</row>
    <row r="241" spans="1:16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</row>
    <row r="242" spans="1:16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</row>
    <row r="243" spans="1:16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</row>
    <row r="244" spans="1:16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</row>
    <row r="245" spans="1:16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</row>
    <row r="246" spans="1:16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</row>
    <row r="247" spans="1:16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</row>
    <row r="248" spans="1:16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</row>
    <row r="249" spans="1:16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</row>
    <row r="250" spans="1:16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</row>
    <row r="251" spans="1:16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</row>
    <row r="252" spans="1:16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</row>
    <row r="253" spans="1:16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</row>
    <row r="254" spans="1:16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</row>
    <row r="255" spans="1:16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</row>
    <row r="256" spans="1:16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</row>
    <row r="257" spans="1:16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</row>
    <row r="258" spans="1:16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</row>
    <row r="259" spans="1:16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</row>
    <row r="260" spans="1:16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</row>
    <row r="261" spans="1:16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</row>
    <row r="262" spans="1:16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</row>
    <row r="263" spans="1:16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</row>
    <row r="264" spans="1:16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</row>
    <row r="265" spans="1:16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</row>
    <row r="266" spans="1:16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</row>
    <row r="267" spans="1:16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</row>
    <row r="268" spans="1:16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</row>
    <row r="269" spans="1:16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</row>
    <row r="270" spans="1:16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</row>
    <row r="271" spans="1:16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</row>
    <row r="272" spans="1:16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</row>
    <row r="273" spans="1:16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</row>
    <row r="274" spans="1:16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</row>
    <row r="275" spans="1:16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</row>
    <row r="276" spans="1:16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</row>
    <row r="277" spans="1:16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</row>
    <row r="278" spans="1:16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</row>
    <row r="279" spans="1:16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</row>
    <row r="280" spans="1:16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</row>
    <row r="281" spans="1:16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</row>
    <row r="282" spans="1:16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</row>
    <row r="283" spans="1:16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</row>
    <row r="284" spans="1:16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</row>
    <row r="285" spans="1:16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</row>
    <row r="286" spans="1:16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</row>
    <row r="287" spans="1:16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</row>
    <row r="288" spans="1:16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</row>
    <row r="289" spans="1:16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</row>
    <row r="290" spans="1:16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</row>
    <row r="291" spans="1:16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</row>
    <row r="292" spans="1:16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</row>
    <row r="293" spans="1:16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</row>
    <row r="294" spans="1:16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</row>
    <row r="295" spans="1:16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</row>
    <row r="296" spans="1:16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</row>
    <row r="297" spans="1:16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</row>
    <row r="298" spans="1:16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</row>
    <row r="299" spans="1:16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</row>
    <row r="300" spans="1:16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</row>
    <row r="301" spans="1:16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</row>
    <row r="302" spans="1:16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</row>
    <row r="303" spans="1:16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</row>
    <row r="304" spans="1:16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</row>
    <row r="305" spans="1:16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</row>
    <row r="306" spans="1:16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</row>
    <row r="307" spans="1:16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</row>
    <row r="308" spans="1:16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</row>
    <row r="309" spans="1:16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</row>
    <row r="310" spans="1:16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</row>
    <row r="311" spans="1:16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</row>
    <row r="312" spans="1:16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</row>
    <row r="313" spans="1:16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</row>
    <row r="314" spans="1:16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</row>
    <row r="315" spans="1:16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</row>
    <row r="316" spans="1:16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</row>
    <row r="317" spans="1:16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</row>
    <row r="318" spans="1:16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</row>
    <row r="319" spans="1:16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</row>
    <row r="320" spans="1:16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</row>
    <row r="321" spans="1:16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</row>
    <row r="322" spans="1:16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</row>
    <row r="323" spans="1:16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</row>
    <row r="324" spans="1:16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</row>
    <row r="325" spans="1:16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</row>
    <row r="326" spans="1:16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</row>
    <row r="327" spans="1:16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</row>
    <row r="328" spans="1:16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</row>
    <row r="329" spans="1:16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</row>
    <row r="330" spans="1:16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</row>
    <row r="331" spans="1:16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</row>
    <row r="332" spans="1:16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</row>
    <row r="333" spans="1:16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</row>
    <row r="334" spans="1:16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</row>
    <row r="335" spans="1:16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</row>
    <row r="336" spans="1:16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</row>
    <row r="337" spans="1:16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</row>
    <row r="338" spans="1:16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</row>
    <row r="339" spans="1:16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</row>
    <row r="340" spans="1:16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</row>
    <row r="341" spans="1:16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</row>
    <row r="342" spans="1:16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</row>
    <row r="343" spans="1:16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</row>
    <row r="344" spans="1:16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</row>
    <row r="345" spans="1:16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</row>
    <row r="346" spans="1:16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</row>
    <row r="347" spans="1:16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</row>
    <row r="348" spans="1:16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</row>
    <row r="349" spans="1:16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</row>
    <row r="350" spans="1:16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</row>
    <row r="351" spans="1:16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</row>
    <row r="352" spans="1:16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</row>
    <row r="353" spans="1:16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</row>
    <row r="354" spans="1:16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</row>
    <row r="355" spans="1:16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</row>
    <row r="356" spans="1:16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</row>
    <row r="357" spans="1:16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</row>
    <row r="358" spans="1:16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</row>
    <row r="359" spans="1:16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</row>
    <row r="360" spans="1:16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</row>
    <row r="361" spans="1:16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</row>
    <row r="362" spans="1:16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</row>
    <row r="363" spans="1:16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</row>
    <row r="364" spans="1:16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</row>
    <row r="365" spans="1:16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</row>
    <row r="366" spans="1:16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</row>
    <row r="367" spans="1:16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</row>
    <row r="368" spans="1:16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</row>
    <row r="369" spans="1:16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</row>
    <row r="370" spans="1:16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</row>
    <row r="371" spans="1:16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</row>
    <row r="372" spans="1:16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</row>
    <row r="373" spans="1:16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</row>
    <row r="374" spans="1:16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</row>
    <row r="375" spans="1:16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</row>
    <row r="376" spans="1:16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</row>
    <row r="377" spans="1:16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</row>
    <row r="378" spans="1:16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</row>
    <row r="379" spans="1:16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</row>
    <row r="380" spans="1:16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</row>
    <row r="381" spans="1:16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</row>
    <row r="382" spans="1:16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</row>
    <row r="383" spans="1:16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</row>
    <row r="384" spans="1:16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</row>
    <row r="385" spans="1:16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</row>
    <row r="386" spans="1:16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</row>
    <row r="387" spans="1:16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</row>
    <row r="388" spans="1:16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</row>
    <row r="389" spans="1:16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</row>
    <row r="390" spans="1:16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</row>
    <row r="391" spans="1:16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</row>
    <row r="392" spans="1:16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</row>
    <row r="393" spans="1:16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</row>
    <row r="394" spans="1:16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</row>
    <row r="395" spans="1:16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</row>
    <row r="396" spans="1:16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</row>
    <row r="397" spans="1:16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</row>
    <row r="398" spans="1:16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</row>
    <row r="399" spans="1:16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</row>
    <row r="400" spans="1:16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</row>
    <row r="401" spans="1:16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</row>
    <row r="402" spans="1:16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</row>
    <row r="403" spans="1:16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</row>
    <row r="404" spans="1:16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</row>
    <row r="405" spans="1:16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</row>
    <row r="406" spans="1:16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</row>
    <row r="407" spans="1:16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</row>
    <row r="408" spans="1:16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</row>
    <row r="409" spans="1:16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</row>
    <row r="410" spans="1:16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</row>
    <row r="411" spans="1:16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</row>
    <row r="412" spans="1:16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</row>
    <row r="413" spans="1:16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</row>
    <row r="414" spans="1:16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</row>
    <row r="415" spans="1:16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</row>
    <row r="416" spans="1:16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</row>
    <row r="417" spans="1:16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</row>
    <row r="418" spans="1:16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</row>
    <row r="419" spans="1:16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</row>
    <row r="420" spans="1:16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</row>
    <row r="421" spans="1:16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</row>
    <row r="422" spans="1:16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</row>
    <row r="423" spans="1:16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</row>
    <row r="424" spans="1:16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</row>
    <row r="425" spans="1:16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</row>
    <row r="426" spans="1:16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</row>
    <row r="427" spans="1:16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</row>
    <row r="428" spans="1:16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</row>
    <row r="429" spans="1:16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</row>
    <row r="430" spans="1:16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</row>
    <row r="431" spans="1:16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</row>
    <row r="432" spans="1:16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</row>
    <row r="433" spans="1:16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</row>
    <row r="434" spans="1:16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</row>
    <row r="435" spans="1:16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</row>
    <row r="436" spans="1:16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</row>
    <row r="437" spans="1:16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</row>
    <row r="438" spans="1:16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</row>
    <row r="439" spans="1:16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</row>
    <row r="440" spans="1:16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</row>
    <row r="441" spans="1:16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</row>
    <row r="442" spans="1:16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</row>
    <row r="443" spans="1:16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</row>
    <row r="444" spans="1:16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</row>
    <row r="445" spans="1:16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</row>
    <row r="446" spans="1:16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</row>
    <row r="447" spans="1:16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</row>
    <row r="448" spans="1:16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</row>
    <row r="449" spans="1:16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</row>
    <row r="450" spans="1:16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</row>
    <row r="451" spans="1:16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</row>
    <row r="452" spans="1:16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</row>
    <row r="453" spans="1:16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</row>
    <row r="454" spans="1:16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</row>
    <row r="455" spans="1:16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</row>
    <row r="456" spans="1:16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</row>
    <row r="457" spans="1:16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</row>
    <row r="458" spans="1:16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</row>
    <row r="459" spans="1:16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</row>
    <row r="460" spans="1:16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</row>
    <row r="461" spans="1:16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</row>
    <row r="462" spans="1:16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</row>
    <row r="463" spans="1:16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</row>
    <row r="464" spans="1:16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</row>
    <row r="465" spans="1:16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</row>
    <row r="466" spans="1:16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</row>
    <row r="467" spans="1:16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</row>
    <row r="468" spans="1:16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</row>
    <row r="469" spans="1:16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</row>
    <row r="470" spans="1:16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</row>
    <row r="471" spans="1:16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</row>
    <row r="472" spans="1:16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</row>
    <row r="473" spans="1:16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</row>
    <row r="474" spans="1:16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</row>
    <row r="475" spans="1:16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</row>
    <row r="476" spans="1:16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</row>
    <row r="477" spans="1:16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</row>
    <row r="478" spans="1:16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</row>
    <row r="479" spans="1:16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</row>
    <row r="480" spans="1:16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</row>
    <row r="481" spans="1:16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</row>
    <row r="482" spans="1:16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</row>
    <row r="483" spans="1:16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</row>
    <row r="484" spans="1:16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</row>
    <row r="485" spans="1:16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</row>
    <row r="486" spans="1:16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</row>
    <row r="487" spans="1:16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</row>
    <row r="488" spans="1:16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</row>
    <row r="489" spans="1:16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</row>
    <row r="490" spans="1:16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</row>
    <row r="491" spans="1:16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</row>
    <row r="492" spans="1:16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</row>
    <row r="493" spans="1:16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</row>
    <row r="494" spans="1:16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</row>
    <row r="495" spans="1:16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</row>
    <row r="496" spans="1:16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</row>
    <row r="497" spans="1:16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</row>
    <row r="498" spans="1:16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</row>
    <row r="499" spans="1:16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</row>
    <row r="500" spans="1:16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</row>
    <row r="501" spans="1:16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</row>
    <row r="502" spans="1:16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</row>
    <row r="503" spans="1:16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</row>
    <row r="504" spans="1:16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</row>
    <row r="505" spans="1:16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</row>
    <row r="506" spans="1:16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</row>
    <row r="507" spans="1:16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</row>
    <row r="508" spans="1:16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</row>
    <row r="509" spans="1:16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</row>
    <row r="510" spans="1:16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</row>
    <row r="511" spans="1:16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</row>
    <row r="512" spans="1:16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</row>
    <row r="513" spans="1:16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</row>
    <row r="514" spans="1:16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</row>
    <row r="515" spans="1:16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</row>
    <row r="516" spans="1:16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</row>
    <row r="517" spans="1:16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</row>
    <row r="518" spans="1:16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</row>
    <row r="519" spans="1:16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</row>
    <row r="520" spans="1:16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</row>
    <row r="521" spans="1:16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</row>
    <row r="522" spans="1:16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</row>
    <row r="523" spans="1:16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</row>
    <row r="524" spans="1:16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</row>
    <row r="525" spans="1:16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</row>
    <row r="526" spans="1:16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</row>
    <row r="527" spans="1:16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</row>
    <row r="528" spans="1:16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</row>
    <row r="529" spans="1:16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</row>
    <row r="530" spans="1:16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</row>
    <row r="531" spans="1:16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</row>
    <row r="532" spans="1:16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</row>
    <row r="533" spans="1:16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</row>
    <row r="534" spans="1:16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</row>
    <row r="535" spans="1:16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</row>
    <row r="536" spans="1:16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</row>
    <row r="537" spans="1:16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</row>
    <row r="538" spans="1:16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</row>
    <row r="539" spans="1:16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</row>
    <row r="540" spans="1:16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</row>
    <row r="541" spans="1:16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</row>
    <row r="542" spans="1:16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</row>
    <row r="543" spans="1:16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</row>
    <row r="544" spans="1:16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</row>
    <row r="545" spans="1:16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</row>
    <row r="546" spans="1:16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</row>
    <row r="547" spans="1:16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</row>
    <row r="548" spans="1:16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</row>
    <row r="549" spans="1:16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</row>
    <row r="550" spans="1:16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</row>
    <row r="551" spans="1:16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</row>
    <row r="552" spans="1:16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</row>
    <row r="553" spans="1:16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</row>
    <row r="554" spans="1:16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</row>
    <row r="555" spans="1:16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</row>
    <row r="556" spans="1:16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</row>
    <row r="557" spans="1:16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</row>
    <row r="558" spans="1:16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</row>
    <row r="559" spans="1:16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</row>
    <row r="560" spans="1:16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</row>
    <row r="561" spans="1:16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</row>
    <row r="562" spans="1:16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</row>
    <row r="563" spans="1:16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</row>
    <row r="564" spans="1:16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</row>
    <row r="565" spans="1:16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</row>
    <row r="566" spans="1:16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</row>
    <row r="567" spans="1:16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</row>
    <row r="568" spans="1:16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</row>
    <row r="569" spans="1:16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</row>
    <row r="570" spans="1:16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</row>
    <row r="571" spans="1:16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</row>
    <row r="572" spans="1:16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</row>
    <row r="573" spans="1:16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</row>
    <row r="574" spans="1:16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</row>
    <row r="575" spans="1:16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</row>
    <row r="576" spans="1:16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</row>
    <row r="577" spans="1:16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</row>
    <row r="578" spans="1:16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</row>
    <row r="579" spans="1:16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</row>
    <row r="580" spans="1:16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</row>
    <row r="581" spans="1:16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</row>
    <row r="582" spans="1:16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</row>
    <row r="583" spans="1:16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</row>
    <row r="584" spans="1:16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</row>
    <row r="585" spans="1:16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</row>
    <row r="586" spans="1:16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</row>
    <row r="587" spans="1:16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</row>
    <row r="588" spans="1:16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</row>
    <row r="589" spans="1:16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</row>
    <row r="590" spans="1:16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</row>
    <row r="591" spans="1:16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</row>
    <row r="592" spans="1:16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</row>
    <row r="593" spans="1:16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</row>
    <row r="594" spans="1:16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</row>
    <row r="595" spans="1:16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</row>
    <row r="596" spans="1:16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</row>
    <row r="597" spans="1:16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</row>
    <row r="598" spans="1:16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</row>
    <row r="599" spans="1:16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</row>
    <row r="600" spans="1:16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</row>
    <row r="601" spans="1:16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</row>
    <row r="602" spans="1:16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</row>
    <row r="603" spans="1:16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</row>
    <row r="604" spans="1:16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</row>
    <row r="605" spans="1:16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</row>
    <row r="606" spans="1:16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</row>
    <row r="607" spans="1:16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</row>
    <row r="608" spans="1:16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</row>
    <row r="609" spans="1:16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</row>
    <row r="610" spans="1:16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</row>
    <row r="611" spans="1:16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</row>
    <row r="612" spans="1:16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</row>
    <row r="613" spans="1:16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</row>
    <row r="614" spans="1:16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</row>
    <row r="615" spans="1:16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</row>
    <row r="616" spans="1:16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</row>
    <row r="617" spans="1:16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</row>
    <row r="618" spans="1:16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</row>
    <row r="619" spans="1:16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</row>
    <row r="620" spans="1:16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</row>
    <row r="621" spans="1:16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</row>
    <row r="622" spans="1:16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</row>
    <row r="623" spans="1:16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</row>
    <row r="624" spans="1:16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</row>
    <row r="625" spans="1:16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</row>
    <row r="626" spans="1:16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</row>
    <row r="627" spans="1:16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</row>
    <row r="628" spans="1:16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</row>
    <row r="629" spans="1:16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</row>
    <row r="630" spans="1:16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</row>
    <row r="631" spans="1:16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</row>
    <row r="632" spans="1:16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</row>
    <row r="633" spans="1:16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</row>
    <row r="634" spans="1:16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</row>
    <row r="635" spans="1:16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</row>
    <row r="636" spans="1:16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</row>
    <row r="637" spans="1:16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</row>
    <row r="638" spans="1:16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</row>
    <row r="639" spans="1:16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</row>
    <row r="640" spans="1:16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</row>
    <row r="641" spans="1:16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</row>
    <row r="642" spans="1:16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</row>
    <row r="643" spans="1:16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</row>
    <row r="644" spans="1:16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</row>
    <row r="645" spans="1:16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</row>
    <row r="646" spans="1:16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</row>
    <row r="647" spans="1:16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</row>
    <row r="648" spans="1:16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</row>
    <row r="649" spans="1:16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</row>
    <row r="650" spans="1:16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</row>
    <row r="651" spans="1:16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</row>
    <row r="652" spans="1:16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</row>
    <row r="653" spans="1:16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</row>
    <row r="654" spans="1:16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</row>
    <row r="655" spans="1:16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</row>
    <row r="656" spans="1:16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</row>
    <row r="657" spans="1:16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</row>
    <row r="658" spans="1:16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</row>
    <row r="659" spans="1:16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</row>
    <row r="660" spans="1:16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</row>
    <row r="661" spans="1:16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</row>
    <row r="662" spans="1:16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</row>
    <row r="663" spans="1:16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</row>
    <row r="664" spans="1:16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</row>
    <row r="665" spans="1:16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</row>
    <row r="666" spans="1:16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</row>
    <row r="667" spans="1:16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</row>
    <row r="668" spans="1:16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</row>
    <row r="669" spans="1:16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</row>
    <row r="670" spans="1:16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</row>
    <row r="671" spans="1:16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</row>
    <row r="672" spans="1:16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</row>
    <row r="673" spans="1:16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</row>
    <row r="674" spans="1:16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</row>
    <row r="675" spans="1:16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</row>
    <row r="676" spans="1:16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</row>
    <row r="677" spans="1:16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</row>
    <row r="678" spans="1:16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</row>
    <row r="679" spans="1:16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</row>
    <row r="680" spans="1:16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</row>
    <row r="681" spans="1:16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</row>
    <row r="682" spans="1:16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</row>
    <row r="683" spans="1:16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</row>
    <row r="684" spans="1:16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</row>
    <row r="685" spans="1:16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</row>
    <row r="686" spans="1:16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</row>
    <row r="687" spans="1:16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</row>
    <row r="688" spans="1:16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</row>
    <row r="689" spans="1:16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</row>
    <row r="690" spans="1:16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</row>
    <row r="691" spans="1:16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</row>
    <row r="692" spans="1:16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</row>
    <row r="693" spans="1:16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</row>
    <row r="694" spans="1:16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</row>
    <row r="695" spans="1:16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</row>
    <row r="696" spans="1:16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</row>
    <row r="697" spans="1:16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</row>
    <row r="698" spans="1:16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</row>
    <row r="699" spans="1:16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</row>
    <row r="700" spans="1:16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</row>
    <row r="701" spans="1:16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</row>
    <row r="702" spans="1:16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</row>
    <row r="703" spans="1:16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</row>
    <row r="704" spans="1:16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</row>
    <row r="705" spans="1:16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</row>
    <row r="706" spans="1:16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</row>
    <row r="707" spans="1:16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</row>
    <row r="708" spans="1:16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</row>
    <row r="709" spans="1:16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</row>
    <row r="710" spans="1:16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</row>
    <row r="711" spans="1:16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</row>
    <row r="712" spans="1:16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</row>
    <row r="713" spans="1:16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</row>
    <row r="714" spans="1:16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</row>
    <row r="715" spans="1:16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</row>
    <row r="716" spans="1:16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</row>
    <row r="717" spans="1:16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</row>
    <row r="718" spans="1:16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</row>
    <row r="719" spans="1:16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</row>
    <row r="720" spans="1:16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</row>
    <row r="721" spans="1:16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</row>
    <row r="722" spans="1:16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</row>
    <row r="723" spans="1:16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</row>
    <row r="724" spans="1:16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</row>
    <row r="725" spans="1:16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</row>
    <row r="726" spans="1:16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</row>
    <row r="727" spans="1:16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</row>
    <row r="728" spans="1:16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</row>
    <row r="729" spans="1:16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</row>
    <row r="730" spans="1:16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</row>
    <row r="731" spans="1:16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</row>
    <row r="732" spans="1:16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</row>
    <row r="733" spans="1:16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</row>
    <row r="734" spans="1:16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</row>
    <row r="735" spans="1:16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</row>
    <row r="736" spans="1:16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</row>
    <row r="737" spans="1:16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</row>
    <row r="738" spans="1:16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</row>
    <row r="739" spans="1:16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</row>
    <row r="740" spans="1:16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</row>
    <row r="741" spans="1:16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</row>
    <row r="742" spans="1:16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</row>
    <row r="743" spans="1:16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</row>
    <row r="744" spans="1:16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</row>
    <row r="745" spans="1:16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</row>
    <row r="746" spans="1:16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</row>
    <row r="747" spans="1:16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</row>
    <row r="748" spans="1:16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</row>
    <row r="749" spans="1:16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</row>
    <row r="750" spans="1:16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</row>
    <row r="751" spans="1:16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</row>
    <row r="752" spans="1:16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</row>
    <row r="753" spans="1:16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</row>
    <row r="754" spans="1:16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</row>
    <row r="755" spans="1:16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</row>
    <row r="756" spans="1:16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</row>
    <row r="757" spans="1:16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</row>
    <row r="758" spans="1:16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</row>
    <row r="759" spans="1:16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</row>
    <row r="760" spans="1:16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</row>
    <row r="761" spans="1:16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</row>
    <row r="762" spans="1:16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</row>
    <row r="763" spans="1:16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</row>
    <row r="764" spans="1:16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</row>
    <row r="765" spans="1:16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</row>
    <row r="766" spans="1:16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</row>
    <row r="767" spans="1:16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</row>
    <row r="768" spans="1:16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</row>
    <row r="769" spans="1:16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</row>
    <row r="770" spans="1:16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</row>
    <row r="771" spans="1:16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</row>
    <row r="772" spans="1:16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</row>
    <row r="773" spans="1:16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</row>
    <row r="774" spans="1:16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</row>
    <row r="775" spans="1:16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</row>
    <row r="776" spans="1:16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</row>
    <row r="777" spans="1:16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</row>
    <row r="778" spans="1:16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</row>
    <row r="779" spans="1:16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</row>
    <row r="780" spans="1:16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</row>
    <row r="781" spans="1:16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</row>
    <row r="782" spans="1:16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</row>
    <row r="783" spans="1:16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</row>
    <row r="784" spans="1:16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</row>
    <row r="785" spans="1:16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</row>
    <row r="786" spans="1:16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</row>
    <row r="787" spans="1:16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</row>
    <row r="788" spans="1:16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</row>
    <row r="789" spans="1:16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</row>
    <row r="790" spans="1:16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</row>
    <row r="791" spans="1:16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</row>
    <row r="792" spans="1:16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</row>
    <row r="793" spans="1:16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</row>
    <row r="794" spans="1:16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</row>
    <row r="795" spans="1:16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</row>
    <row r="796" spans="1:16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</row>
    <row r="797" spans="1:16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</row>
    <row r="798" spans="1:16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</row>
    <row r="799" spans="1:16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</row>
    <row r="800" spans="1:16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</row>
    <row r="801" spans="1:16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</row>
    <row r="802" spans="1:16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</row>
    <row r="803" spans="1:16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</row>
    <row r="804" spans="1:16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</row>
    <row r="805" spans="1:16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</row>
    <row r="806" spans="1:16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</row>
    <row r="807" spans="1:16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</row>
    <row r="808" spans="1:16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</row>
    <row r="809" spans="1:16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</row>
    <row r="810" spans="1:16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</row>
    <row r="811" spans="1:16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</row>
    <row r="812" spans="1:16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</row>
    <row r="813" spans="1:16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</row>
    <row r="814" spans="1:16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</row>
    <row r="815" spans="1:16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</row>
    <row r="816" spans="1:16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</row>
    <row r="817" spans="1:16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</row>
    <row r="818" spans="1:16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</row>
    <row r="819" spans="1:16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</row>
    <row r="820" spans="1:16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</row>
    <row r="821" spans="1:16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</row>
    <row r="822" spans="1:16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</row>
    <row r="823" spans="1:16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</row>
    <row r="824" spans="1:16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</row>
    <row r="825" spans="1:16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</row>
    <row r="826" spans="1:16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</row>
    <row r="827" spans="1:16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</row>
    <row r="828" spans="1:16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</row>
    <row r="829" spans="1:16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</row>
    <row r="830" spans="1:16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</row>
    <row r="831" spans="1:16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</row>
    <row r="832" spans="1:16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</row>
    <row r="833" spans="1:16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</row>
    <row r="834" spans="1:16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</row>
    <row r="835" spans="1:16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</row>
    <row r="836" spans="1:16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</row>
    <row r="837" spans="1:16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</row>
    <row r="838" spans="1:16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</row>
    <row r="839" spans="1:16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</row>
    <row r="840" spans="1:16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</row>
    <row r="841" spans="1:16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</row>
    <row r="842" spans="1:16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</row>
    <row r="843" spans="1:16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</row>
    <row r="844" spans="1:16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</row>
    <row r="845" spans="1:16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</row>
    <row r="846" spans="1:16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</row>
    <row r="847" spans="1:16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</row>
    <row r="848" spans="1:16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</row>
    <row r="849" spans="1:16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</row>
    <row r="850" spans="1:16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</row>
    <row r="851" spans="1:16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</row>
    <row r="852" spans="1:16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</row>
    <row r="853" spans="1:16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</row>
    <row r="854" spans="1:16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</row>
    <row r="855" spans="1:16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</row>
    <row r="856" spans="1:16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</row>
    <row r="857" spans="1:16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</row>
    <row r="858" spans="1:16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</row>
    <row r="859" spans="1:16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</row>
    <row r="860" spans="1:16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</row>
    <row r="861" spans="1:16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</row>
    <row r="862" spans="1:16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</row>
    <row r="863" spans="1:16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</row>
    <row r="864" spans="1:16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</row>
    <row r="865" spans="1:16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</row>
    <row r="866" spans="1:16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</row>
    <row r="867" spans="1:16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</row>
    <row r="868" spans="1:16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</row>
    <row r="869" spans="1:16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</row>
    <row r="870" spans="1:16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</row>
    <row r="871" spans="1:16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</row>
    <row r="872" spans="1:16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</row>
    <row r="873" spans="1:16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</row>
    <row r="874" spans="1:16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</row>
    <row r="875" spans="1:16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</row>
    <row r="876" spans="1:16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</row>
    <row r="877" spans="1:16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</row>
    <row r="878" spans="1:16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</row>
    <row r="879" spans="1:16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</row>
    <row r="880" spans="1:16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</row>
    <row r="881" spans="1:16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</row>
    <row r="882" spans="1:16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</row>
    <row r="883" spans="1:16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</row>
    <row r="884" spans="1:16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</row>
    <row r="885" spans="1:16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</row>
    <row r="886" spans="1:16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</row>
    <row r="887" spans="1:16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</row>
    <row r="888" spans="1:16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</row>
    <row r="889" spans="1:16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</row>
    <row r="890" spans="1:16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</row>
    <row r="891" spans="1:16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</row>
    <row r="892" spans="1:16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</row>
    <row r="893" spans="1:16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</row>
    <row r="894" spans="1:16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</row>
    <row r="895" spans="1:16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</row>
    <row r="896" spans="1:16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</row>
    <row r="897" spans="1:16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</row>
    <row r="898" spans="1:16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</row>
    <row r="899" spans="1:16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</row>
    <row r="900" spans="1:16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</row>
    <row r="901" spans="1:16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</row>
    <row r="902" spans="1:16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</row>
    <row r="903" spans="1:16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</row>
    <row r="904" spans="1:16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</row>
    <row r="905" spans="1:16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</row>
    <row r="906" spans="1:16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</row>
    <row r="907" spans="1:16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</row>
    <row r="908" spans="1:16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</row>
    <row r="909" spans="1:16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</row>
    <row r="910" spans="1:16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</row>
    <row r="911" spans="1:16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</row>
    <row r="912" spans="1:16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</row>
    <row r="913" spans="1:16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</row>
    <row r="914" spans="1:16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</row>
    <row r="915" spans="1:16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</row>
    <row r="916" spans="1:16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</row>
    <row r="917" spans="1:16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</row>
    <row r="918" spans="1:16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</row>
    <row r="919" spans="1:16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</row>
    <row r="920" spans="1:16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</row>
    <row r="921" spans="1:16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</row>
    <row r="922" spans="1:16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</row>
    <row r="923" spans="1:16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</row>
    <row r="924" spans="1:16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</row>
    <row r="925" spans="1:16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</row>
    <row r="926" spans="1:16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</row>
    <row r="927" spans="1:16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</row>
    <row r="928" spans="1:16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</row>
    <row r="929" spans="1:16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</row>
    <row r="930" spans="1:16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</row>
    <row r="931" spans="1:16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</row>
    <row r="932" spans="1:16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</row>
    <row r="933" spans="1:16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</row>
    <row r="934" spans="1:16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</row>
    <row r="935" spans="1:16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</row>
    <row r="936" spans="1:16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</row>
    <row r="937" spans="1:16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</row>
    <row r="938" spans="1:16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</row>
    <row r="939" spans="1:16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</row>
    <row r="940" spans="1:16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</row>
    <row r="941" spans="1:16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</row>
    <row r="942" spans="1:16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</row>
    <row r="943" spans="1:16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</row>
    <row r="944" spans="1:16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</row>
    <row r="945" spans="1:16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</row>
    <row r="946" spans="1:16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</row>
    <row r="947" spans="1:16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</row>
    <row r="948" spans="1:16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</row>
    <row r="949" spans="1:16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</row>
    <row r="950" spans="1:16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</row>
    <row r="951" spans="1:16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</row>
    <row r="952" spans="1:16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</row>
    <row r="953" spans="1:16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</row>
    <row r="954" spans="1:16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</row>
    <row r="955" spans="1:16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</row>
    <row r="956" spans="1:16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</row>
    <row r="957" spans="1:16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</row>
    <row r="958" spans="1:16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</row>
    <row r="959" spans="1:16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</row>
    <row r="960" spans="1:16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</row>
    <row r="961" spans="1:16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</row>
    <row r="962" spans="1:16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</row>
    <row r="963" spans="1:16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</row>
    <row r="964" spans="1:16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</row>
    <row r="965" spans="1:16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</row>
    <row r="966" spans="1:16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</row>
    <row r="967" spans="1:16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</row>
    <row r="968" spans="1:16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</row>
    <row r="969" spans="1:16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</row>
    <row r="970" spans="1:16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</row>
    <row r="971" spans="1:16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</row>
    <row r="972" spans="1:16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</row>
    <row r="973" spans="1:16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</row>
    <row r="974" spans="1:16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</row>
    <row r="975" spans="1:16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</row>
    <row r="976" spans="1:16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</row>
    <row r="977" spans="1:16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</row>
    <row r="978" spans="1:16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</row>
    <row r="979" spans="1:16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</row>
    <row r="980" spans="1:16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</row>
    <row r="981" spans="1:16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</row>
    <row r="982" spans="1:16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</row>
    <row r="983" spans="1:16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</row>
    <row r="984" spans="1:16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</row>
    <row r="985" spans="1:16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</row>
    <row r="986" spans="1:16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</row>
    <row r="987" spans="1:16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</row>
    <row r="988" spans="1:16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</row>
    <row r="989" spans="1:16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</row>
    <row r="990" spans="1:16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</row>
    <row r="991" spans="1:16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</row>
    <row r="992" spans="1:16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</row>
    <row r="993" spans="1:16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</row>
    <row r="994" spans="1:16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</row>
    <row r="995" spans="1:16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</row>
    <row r="996" spans="1:16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</row>
    <row r="997" spans="1:16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</row>
    <row r="998" spans="1:16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</row>
    <row r="999" spans="1:16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</row>
    <row r="1000" spans="1:16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</row>
    <row r="1001" spans="1:16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</row>
    <row r="1002" spans="1:16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</row>
    <row r="1003" spans="1:16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</row>
    <row r="1004" spans="1:16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</row>
    <row r="1005" spans="1:16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</row>
    <row r="1006" spans="1:16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</row>
    <row r="1007" spans="1:16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</row>
    <row r="1008" spans="1:16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</row>
    <row r="1009" spans="1:16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</row>
    <row r="1010" spans="1:16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</row>
    <row r="1011" spans="1:16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</row>
    <row r="1012" spans="1:16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</row>
    <row r="1013" spans="1:16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</row>
    <row r="1014" spans="1:16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</row>
    <row r="1015" spans="1:16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</row>
    <row r="1016" spans="1:16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</row>
    <row r="1017" spans="1:16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</row>
    <row r="1018" spans="1:16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</row>
    <row r="1019" spans="1:16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</row>
    <row r="1020" spans="1:16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</row>
    <row r="1021" spans="1:16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</row>
    <row r="1022" spans="1:16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</row>
    <row r="1023" spans="1:16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</row>
    <row r="1024" spans="1:16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</row>
    <row r="1025" spans="1:16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</row>
    <row r="1026" spans="1:16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</row>
    <row r="1027" spans="1:16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</row>
    <row r="1028" spans="1:16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</row>
    <row r="1029" spans="1:16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</row>
    <row r="1030" spans="1:16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</row>
    <row r="1031" spans="1:16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</row>
    <row r="1032" spans="1:16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</row>
    <row r="1033" spans="1:16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</row>
    <row r="1034" spans="1:16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</row>
    <row r="1035" spans="1:16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</row>
    <row r="1036" spans="1:16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</row>
    <row r="1037" spans="1:16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</row>
    <row r="1038" spans="1:16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</row>
    <row r="1039" spans="1:16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</row>
    <row r="1040" spans="1:16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</row>
    <row r="1041" spans="1:16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</row>
    <row r="1042" spans="1:16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</row>
    <row r="1043" spans="1:16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</row>
    <row r="1044" spans="1:16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</row>
    <row r="1045" spans="1:16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</row>
    <row r="1046" spans="1:16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</row>
    <row r="1047" spans="1:16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</row>
    <row r="1048" spans="1:16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</row>
    <row r="1049" spans="1:16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</row>
    <row r="1050" spans="1:16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</row>
    <row r="1051" spans="1:16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</row>
    <row r="1052" spans="1:16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</row>
    <row r="1053" spans="1:16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</row>
    <row r="1054" spans="1:16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</row>
    <row r="1055" spans="1:16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</row>
    <row r="1056" spans="1:16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</row>
    <row r="1057" spans="1:16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</row>
    <row r="1058" spans="1:16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</row>
    <row r="1059" spans="1:16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</row>
    <row r="1060" spans="1:16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</row>
    <row r="1061" spans="1:16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</row>
    <row r="1062" spans="1:16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</row>
    <row r="1063" spans="1:16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</row>
    <row r="1064" spans="1:16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</row>
    <row r="1065" spans="1:16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</row>
    <row r="1066" spans="1:16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</row>
    <row r="1067" spans="1:16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</row>
    <row r="1068" spans="1:16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</row>
    <row r="1069" spans="1:16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</row>
    <row r="1070" spans="1:16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</row>
    <row r="1071" spans="1:16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</row>
    <row r="1072" spans="1:16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</row>
    <row r="1073" spans="1:16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</row>
    <row r="1074" spans="1:16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</row>
    <row r="1075" spans="1:16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</row>
    <row r="1076" spans="1:16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</row>
    <row r="1077" spans="1:16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</row>
    <row r="1078" spans="1:16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</row>
    <row r="1079" spans="1:16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</row>
    <row r="1080" spans="1:16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</row>
    <row r="1081" spans="1:16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</row>
    <row r="1082" spans="1:16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</row>
    <row r="1083" spans="1:16" x14ac:dyDescent="0.25"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TextBox1">
          <controlPr defaultSize="0" autoLine="0" autoPict="0" r:id="rId4">
            <anchor moveWithCells="1">
              <from>
                <xdr:col>0</xdr:col>
                <xdr:colOff>9525</xdr:colOff>
                <xdr:row>5</xdr:row>
                <xdr:rowOff>200025</xdr:rowOff>
              </from>
              <to>
                <xdr:col>3</xdr:col>
                <xdr:colOff>9525</xdr:colOff>
                <xdr:row>6</xdr:row>
                <xdr:rowOff>228600</xdr:rowOff>
              </to>
            </anchor>
          </controlPr>
        </control>
      </mc:Choice>
      <mc:Fallback>
        <control shapeId="15361" r:id="rId3" name="TextBox1"/>
      </mc:Fallback>
    </mc:AlternateContent>
    <mc:AlternateContent xmlns:mc="http://schemas.openxmlformats.org/markup-compatibility/2006">
      <mc:Choice Requires="x14">
        <control shapeId="15362" r:id="rId5" name="Button 2">
          <controlPr defaultSize="0" print="0" autoFill="0" autoPict="0" macro="[0]!AÑO2020GUARDAR">
            <anchor moveWithCells="1" sizeWithCells="1">
              <from>
                <xdr:col>4</xdr:col>
                <xdr:colOff>19050</xdr:colOff>
                <xdr:row>7</xdr:row>
                <xdr:rowOff>19050</xdr:rowOff>
              </from>
              <to>
                <xdr:col>4</xdr:col>
                <xdr:colOff>2371725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3" r:id="rId6" name="Button 3">
          <controlPr defaultSize="0" print="0" autoFill="0" autoPict="0" macro="[0]!_xlnm.Database">
            <anchor moveWithCells="1" sizeWithCells="1">
              <from>
                <xdr:col>4</xdr:col>
                <xdr:colOff>2390775</xdr:colOff>
                <xdr:row>7</xdr:row>
                <xdr:rowOff>19050</xdr:rowOff>
              </from>
              <to>
                <xdr:col>6</xdr:col>
                <xdr:colOff>38100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4" r:id="rId7" name="Button 4">
          <controlPr defaultSize="0" print="0" autoFill="0" autoPict="0" macro="[0]!MENU">
            <anchor moveWithCells="1" sizeWithCells="1">
              <from>
                <xdr:col>6</xdr:col>
                <xdr:colOff>66675</xdr:colOff>
                <xdr:row>7</xdr:row>
                <xdr:rowOff>9525</xdr:rowOff>
              </from>
              <to>
                <xdr:col>7</xdr:col>
                <xdr:colOff>28575</xdr:colOff>
                <xdr:row>9</xdr:row>
                <xdr:rowOff>28575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CB771-04AA-4540-AD4A-B6340AD041D2}">
  <sheetPr codeName="Hoja10">
    <tabColor theme="9" tint="0.39997558519241921"/>
  </sheetPr>
  <dimension ref="A5:G71"/>
  <sheetViews>
    <sheetView workbookViewId="0">
      <selection activeCell="E18" sqref="E18"/>
    </sheetView>
  </sheetViews>
  <sheetFormatPr baseColWidth="10" defaultRowHeight="15" x14ac:dyDescent="0.25"/>
  <cols>
    <col min="1" max="1" width="54" style="48" customWidth="1"/>
    <col min="2" max="2" width="17.5703125" style="48" customWidth="1"/>
    <col min="3" max="3" width="12" style="48" customWidth="1"/>
    <col min="4" max="4" width="4.42578125" style="48" customWidth="1"/>
    <col min="5" max="5" width="35.7109375" style="48" customWidth="1"/>
    <col min="6" max="6" width="24.42578125" style="48" customWidth="1"/>
    <col min="7" max="16384" width="11.42578125" style="48"/>
  </cols>
  <sheetData>
    <row r="5" spans="1:7" ht="15.75" thickBot="1" x14ac:dyDescent="0.3"/>
    <row r="6" spans="1:7" ht="27" thickBot="1" x14ac:dyDescent="0.45">
      <c r="E6" s="99" t="s">
        <v>3</v>
      </c>
      <c r="F6" s="100" t="s">
        <v>1</v>
      </c>
      <c r="G6" s="79" t="s">
        <v>2</v>
      </c>
    </row>
    <row r="7" spans="1:7" ht="19.5" thickBot="1" x14ac:dyDescent="0.35">
      <c r="E7" s="25"/>
      <c r="F7" s="25" t="s">
        <v>58</v>
      </c>
      <c r="G7" s="57" t="s">
        <v>278</v>
      </c>
    </row>
    <row r="11" spans="1:7" ht="19.5" thickBot="1" x14ac:dyDescent="0.35">
      <c r="A11" s="92" t="s">
        <v>4</v>
      </c>
      <c r="B11" s="92" t="s">
        <v>1</v>
      </c>
      <c r="C11" s="92" t="s">
        <v>2</v>
      </c>
    </row>
    <row r="12" spans="1:7" ht="19.5" thickBot="1" x14ac:dyDescent="0.35">
      <c r="A12" s="23" t="s">
        <v>115</v>
      </c>
      <c r="B12" s="33" t="s">
        <v>58</v>
      </c>
      <c r="C12" s="24" t="s">
        <v>118</v>
      </c>
    </row>
    <row r="13" spans="1:7" ht="19.5" thickBot="1" x14ac:dyDescent="0.35">
      <c r="A13" s="23" t="s">
        <v>104</v>
      </c>
      <c r="B13" s="33" t="s">
        <v>58</v>
      </c>
      <c r="C13" s="24" t="s">
        <v>119</v>
      </c>
    </row>
    <row r="14" spans="1:7" ht="19.5" thickBot="1" x14ac:dyDescent="0.35">
      <c r="A14" s="23" t="s">
        <v>71</v>
      </c>
      <c r="B14" s="33" t="s">
        <v>58</v>
      </c>
      <c r="C14" s="24" t="s">
        <v>120</v>
      </c>
    </row>
    <row r="15" spans="1:7" ht="19.5" thickBot="1" x14ac:dyDescent="0.35">
      <c r="A15" s="23" t="s">
        <v>70</v>
      </c>
      <c r="B15" s="33" t="s">
        <v>58</v>
      </c>
      <c r="C15" s="24" t="s">
        <v>121</v>
      </c>
    </row>
    <row r="16" spans="1:7" ht="19.5" thickBot="1" x14ac:dyDescent="0.35">
      <c r="A16" s="23" t="s">
        <v>62</v>
      </c>
      <c r="B16" s="33" t="s">
        <v>58</v>
      </c>
      <c r="C16" s="24" t="s">
        <v>122</v>
      </c>
    </row>
    <row r="17" spans="1:3" ht="19.5" thickBot="1" x14ac:dyDescent="0.35">
      <c r="A17" s="23" t="s">
        <v>102</v>
      </c>
      <c r="B17" s="33" t="s">
        <v>58</v>
      </c>
      <c r="C17" s="24" t="s">
        <v>123</v>
      </c>
    </row>
    <row r="18" spans="1:3" ht="19.5" thickBot="1" x14ac:dyDescent="0.35">
      <c r="A18" s="23" t="s">
        <v>67</v>
      </c>
      <c r="B18" s="33" t="s">
        <v>58</v>
      </c>
      <c r="C18" s="24" t="s">
        <v>124</v>
      </c>
    </row>
    <row r="19" spans="1:3" ht="19.5" thickBot="1" x14ac:dyDescent="0.35">
      <c r="A19" s="23" t="s">
        <v>61</v>
      </c>
      <c r="B19" s="33" t="s">
        <v>58</v>
      </c>
      <c r="C19" s="24" t="s">
        <v>125</v>
      </c>
    </row>
    <row r="20" spans="1:3" ht="19.5" thickBot="1" x14ac:dyDescent="0.35">
      <c r="A20" s="23" t="s">
        <v>57</v>
      </c>
      <c r="B20" s="33" t="s">
        <v>58</v>
      </c>
      <c r="C20" s="24" t="s">
        <v>126</v>
      </c>
    </row>
    <row r="21" spans="1:3" ht="19.5" thickBot="1" x14ac:dyDescent="0.35">
      <c r="A21" s="23" t="s">
        <v>76</v>
      </c>
      <c r="B21" s="33" t="s">
        <v>58</v>
      </c>
      <c r="C21" s="24" t="s">
        <v>127</v>
      </c>
    </row>
    <row r="22" spans="1:3" ht="19.5" thickBot="1" x14ac:dyDescent="0.35">
      <c r="A22" s="23" t="s">
        <v>60</v>
      </c>
      <c r="B22" s="33" t="s">
        <v>58</v>
      </c>
      <c r="C22" s="24" t="s">
        <v>128</v>
      </c>
    </row>
    <row r="23" spans="1:3" ht="19.5" thickBot="1" x14ac:dyDescent="0.35">
      <c r="A23" s="23" t="s">
        <v>112</v>
      </c>
      <c r="B23" s="33" t="s">
        <v>58</v>
      </c>
      <c r="C23" s="24" t="s">
        <v>129</v>
      </c>
    </row>
    <row r="24" spans="1:3" ht="19.5" thickBot="1" x14ac:dyDescent="0.35">
      <c r="A24" s="23" t="s">
        <v>81</v>
      </c>
      <c r="B24" s="33" t="s">
        <v>58</v>
      </c>
      <c r="C24" s="24" t="s">
        <v>130</v>
      </c>
    </row>
    <row r="25" spans="1:3" ht="19.5" thickBot="1" x14ac:dyDescent="0.35">
      <c r="A25" s="23" t="s">
        <v>111</v>
      </c>
      <c r="B25" s="33" t="s">
        <v>58</v>
      </c>
      <c r="C25" s="24" t="s">
        <v>131</v>
      </c>
    </row>
    <row r="26" spans="1:3" ht="19.5" thickBot="1" x14ac:dyDescent="0.35">
      <c r="A26" s="23" t="s">
        <v>69</v>
      </c>
      <c r="B26" s="33" t="s">
        <v>58</v>
      </c>
      <c r="C26" s="24" t="s">
        <v>132</v>
      </c>
    </row>
    <row r="27" spans="1:3" ht="19.5" thickBot="1" x14ac:dyDescent="0.35">
      <c r="A27" s="23" t="s">
        <v>94</v>
      </c>
      <c r="B27" s="33" t="s">
        <v>58</v>
      </c>
      <c r="C27" s="24" t="s">
        <v>133</v>
      </c>
    </row>
    <row r="28" spans="1:3" ht="19.5" thickBot="1" x14ac:dyDescent="0.35">
      <c r="A28" s="23" t="s">
        <v>75</v>
      </c>
      <c r="B28" s="33" t="s">
        <v>58</v>
      </c>
      <c r="C28" s="24" t="s">
        <v>134</v>
      </c>
    </row>
    <row r="29" spans="1:3" ht="19.5" thickBot="1" x14ac:dyDescent="0.35">
      <c r="A29" s="23" t="s">
        <v>91</v>
      </c>
      <c r="B29" s="33" t="s">
        <v>58</v>
      </c>
      <c r="C29" s="24" t="s">
        <v>135</v>
      </c>
    </row>
    <row r="30" spans="1:3" ht="19.5" thickBot="1" x14ac:dyDescent="0.35">
      <c r="A30" s="23" t="s">
        <v>66</v>
      </c>
      <c r="B30" s="33" t="s">
        <v>58</v>
      </c>
      <c r="C30" s="24" t="s">
        <v>136</v>
      </c>
    </row>
    <row r="31" spans="1:3" ht="19.5" thickBot="1" x14ac:dyDescent="0.35">
      <c r="A31" s="23" t="s">
        <v>101</v>
      </c>
      <c r="B31" s="33" t="s">
        <v>58</v>
      </c>
      <c r="C31" s="24" t="s">
        <v>137</v>
      </c>
    </row>
    <row r="32" spans="1:3" ht="19.5" thickBot="1" x14ac:dyDescent="0.35">
      <c r="A32" s="23" t="s">
        <v>100</v>
      </c>
      <c r="B32" s="33" t="s">
        <v>58</v>
      </c>
      <c r="C32" s="24" t="s">
        <v>138</v>
      </c>
    </row>
    <row r="33" spans="1:3" ht="19.5" thickBot="1" x14ac:dyDescent="0.35">
      <c r="A33" s="23" t="s">
        <v>107</v>
      </c>
      <c r="B33" s="33" t="s">
        <v>58</v>
      </c>
      <c r="C33" s="24" t="s">
        <v>139</v>
      </c>
    </row>
    <row r="34" spans="1:3" ht="19.5" thickBot="1" x14ac:dyDescent="0.35">
      <c r="A34" s="23" t="s">
        <v>59</v>
      </c>
      <c r="B34" s="33" t="s">
        <v>58</v>
      </c>
      <c r="C34" s="24" t="s">
        <v>140</v>
      </c>
    </row>
    <row r="35" spans="1:3" ht="19.5" thickBot="1" x14ac:dyDescent="0.35">
      <c r="A35" s="23" t="s">
        <v>84</v>
      </c>
      <c r="B35" s="33" t="s">
        <v>58</v>
      </c>
      <c r="C35" s="24" t="s">
        <v>141</v>
      </c>
    </row>
    <row r="36" spans="1:3" ht="19.5" thickBot="1" x14ac:dyDescent="0.35">
      <c r="A36" s="23" t="s">
        <v>74</v>
      </c>
      <c r="B36" s="33" t="s">
        <v>58</v>
      </c>
      <c r="C36" s="24" t="s">
        <v>142</v>
      </c>
    </row>
    <row r="37" spans="1:3" ht="19.5" thickBot="1" x14ac:dyDescent="0.35">
      <c r="A37" s="23" t="s">
        <v>113</v>
      </c>
      <c r="B37" s="33" t="s">
        <v>58</v>
      </c>
      <c r="C37" s="24" t="s">
        <v>143</v>
      </c>
    </row>
    <row r="38" spans="1:3" ht="19.5" thickBot="1" x14ac:dyDescent="0.35">
      <c r="A38" s="23" t="s">
        <v>110</v>
      </c>
      <c r="B38" s="33" t="s">
        <v>58</v>
      </c>
      <c r="C38" s="24" t="s">
        <v>144</v>
      </c>
    </row>
    <row r="39" spans="1:3" ht="19.5" thickBot="1" x14ac:dyDescent="0.35">
      <c r="A39" s="23" t="s">
        <v>68</v>
      </c>
      <c r="B39" s="33" t="s">
        <v>58</v>
      </c>
      <c r="C39" s="24" t="s">
        <v>145</v>
      </c>
    </row>
    <row r="40" spans="1:3" ht="19.5" thickBot="1" x14ac:dyDescent="0.35">
      <c r="A40" s="23" t="s">
        <v>116</v>
      </c>
      <c r="B40" s="33" t="s">
        <v>58</v>
      </c>
      <c r="C40" s="24" t="s">
        <v>146</v>
      </c>
    </row>
    <row r="41" spans="1:3" ht="19.5" thickBot="1" x14ac:dyDescent="0.35">
      <c r="A41" s="23" t="s">
        <v>82</v>
      </c>
      <c r="B41" s="33" t="s">
        <v>58</v>
      </c>
      <c r="C41" s="24" t="s">
        <v>147</v>
      </c>
    </row>
    <row r="42" spans="1:3" ht="19.5" thickBot="1" x14ac:dyDescent="0.35">
      <c r="A42" s="23" t="s">
        <v>73</v>
      </c>
      <c r="B42" s="33" t="s">
        <v>58</v>
      </c>
      <c r="C42" s="24" t="s">
        <v>148</v>
      </c>
    </row>
    <row r="43" spans="1:3" ht="19.5" thickBot="1" x14ac:dyDescent="0.35">
      <c r="A43" s="23" t="s">
        <v>106</v>
      </c>
      <c r="B43" s="33" t="s">
        <v>58</v>
      </c>
      <c r="C43" s="24" t="s">
        <v>149</v>
      </c>
    </row>
    <row r="44" spans="1:3" ht="19.5" thickBot="1" x14ac:dyDescent="0.35">
      <c r="A44" s="23" t="s">
        <v>98</v>
      </c>
      <c r="B44" s="33" t="s">
        <v>58</v>
      </c>
      <c r="C44" s="24" t="s">
        <v>150</v>
      </c>
    </row>
    <row r="45" spans="1:3" ht="19.5" thickBot="1" x14ac:dyDescent="0.35">
      <c r="A45" s="23" t="s">
        <v>87</v>
      </c>
      <c r="B45" s="33" t="s">
        <v>58</v>
      </c>
      <c r="C45" s="24" t="s">
        <v>151</v>
      </c>
    </row>
    <row r="46" spans="1:3" ht="19.5" thickBot="1" x14ac:dyDescent="0.35">
      <c r="A46" s="23" t="s">
        <v>72</v>
      </c>
      <c r="B46" s="33" t="s">
        <v>58</v>
      </c>
      <c r="C46" s="24" t="s">
        <v>152</v>
      </c>
    </row>
    <row r="47" spans="1:3" ht="19.5" thickBot="1" x14ac:dyDescent="0.35">
      <c r="A47" s="23" t="s">
        <v>92</v>
      </c>
      <c r="B47" s="33" t="s">
        <v>58</v>
      </c>
      <c r="C47" s="24" t="s">
        <v>153</v>
      </c>
    </row>
    <row r="48" spans="1:3" ht="19.5" thickBot="1" x14ac:dyDescent="0.35">
      <c r="A48" s="23" t="s">
        <v>105</v>
      </c>
      <c r="B48" s="33" t="s">
        <v>58</v>
      </c>
      <c r="C48" s="24" t="s">
        <v>154</v>
      </c>
    </row>
    <row r="49" spans="1:3" ht="19.5" thickBot="1" x14ac:dyDescent="0.35">
      <c r="A49" s="23" t="s">
        <v>114</v>
      </c>
      <c r="B49" s="33" t="s">
        <v>58</v>
      </c>
      <c r="C49" s="24" t="s">
        <v>155</v>
      </c>
    </row>
    <row r="50" spans="1:3" ht="19.5" thickBot="1" x14ac:dyDescent="0.35">
      <c r="A50" s="23" t="s">
        <v>86</v>
      </c>
      <c r="B50" s="33" t="s">
        <v>58</v>
      </c>
      <c r="C50" s="24" t="s">
        <v>156</v>
      </c>
    </row>
    <row r="51" spans="1:3" ht="19.5" thickBot="1" x14ac:dyDescent="0.35">
      <c r="A51" s="23" t="s">
        <v>65</v>
      </c>
      <c r="B51" s="33" t="s">
        <v>58</v>
      </c>
      <c r="C51" s="24" t="s">
        <v>157</v>
      </c>
    </row>
    <row r="52" spans="1:3" ht="19.5" thickBot="1" x14ac:dyDescent="0.35">
      <c r="A52" s="23" t="s">
        <v>64</v>
      </c>
      <c r="B52" s="33" t="s">
        <v>58</v>
      </c>
      <c r="C52" s="24" t="s">
        <v>158</v>
      </c>
    </row>
    <row r="53" spans="1:3" ht="19.5" thickBot="1" x14ac:dyDescent="0.35">
      <c r="A53" s="23" t="s">
        <v>80</v>
      </c>
      <c r="B53" s="33" t="s">
        <v>58</v>
      </c>
      <c r="C53" s="24" t="s">
        <v>159</v>
      </c>
    </row>
    <row r="54" spans="1:3" ht="19.5" thickBot="1" x14ac:dyDescent="0.35">
      <c r="A54" s="23" t="s">
        <v>83</v>
      </c>
      <c r="B54" s="33" t="s">
        <v>58</v>
      </c>
      <c r="C54" s="24" t="s">
        <v>160</v>
      </c>
    </row>
    <row r="55" spans="1:3" ht="19.5" thickBot="1" x14ac:dyDescent="0.35">
      <c r="A55" s="23" t="s">
        <v>93</v>
      </c>
      <c r="B55" s="33" t="s">
        <v>58</v>
      </c>
      <c r="C55" s="24" t="s">
        <v>161</v>
      </c>
    </row>
    <row r="56" spans="1:3" ht="19.5" thickBot="1" x14ac:dyDescent="0.35">
      <c r="A56" s="23" t="s">
        <v>63</v>
      </c>
      <c r="B56" s="33" t="s">
        <v>58</v>
      </c>
      <c r="C56" s="24" t="s">
        <v>162</v>
      </c>
    </row>
    <row r="57" spans="1:3" ht="19.5" thickBot="1" x14ac:dyDescent="0.35">
      <c r="A57" s="23" t="s">
        <v>89</v>
      </c>
      <c r="B57" s="33" t="s">
        <v>58</v>
      </c>
      <c r="C57" s="24" t="s">
        <v>163</v>
      </c>
    </row>
    <row r="58" spans="1:3" ht="19.5" thickBot="1" x14ac:dyDescent="0.35">
      <c r="A58" s="23" t="s">
        <v>79</v>
      </c>
      <c r="B58" s="33" t="s">
        <v>58</v>
      </c>
      <c r="C58" s="24" t="s">
        <v>164</v>
      </c>
    </row>
    <row r="59" spans="1:3" ht="19.5" thickBot="1" x14ac:dyDescent="0.35">
      <c r="A59" s="23" t="s">
        <v>78</v>
      </c>
      <c r="B59" s="33" t="s">
        <v>58</v>
      </c>
      <c r="C59" s="24" t="s">
        <v>165</v>
      </c>
    </row>
    <row r="60" spans="1:3" ht="19.5" thickBot="1" x14ac:dyDescent="0.35">
      <c r="A60" s="23" t="s">
        <v>109</v>
      </c>
      <c r="B60" s="33" t="s">
        <v>58</v>
      </c>
      <c r="C60" s="24" t="s">
        <v>166</v>
      </c>
    </row>
    <row r="61" spans="1:3" ht="19.5" thickBot="1" x14ac:dyDescent="0.35">
      <c r="A61" s="23" t="s">
        <v>103</v>
      </c>
      <c r="B61" s="33" t="s">
        <v>58</v>
      </c>
      <c r="C61" s="24" t="s">
        <v>167</v>
      </c>
    </row>
    <row r="62" spans="1:3" ht="19.5" thickBot="1" x14ac:dyDescent="0.35">
      <c r="A62" s="23" t="s">
        <v>77</v>
      </c>
      <c r="B62" s="33" t="s">
        <v>58</v>
      </c>
      <c r="C62" s="24" t="s">
        <v>168</v>
      </c>
    </row>
    <row r="63" spans="1:3" ht="19.5" thickBot="1" x14ac:dyDescent="0.35">
      <c r="A63" s="23" t="s">
        <v>96</v>
      </c>
      <c r="B63" s="33" t="s">
        <v>58</v>
      </c>
      <c r="C63" s="24" t="s">
        <v>169</v>
      </c>
    </row>
    <row r="64" spans="1:3" ht="19.5" thickBot="1" x14ac:dyDescent="0.35">
      <c r="A64" s="23" t="s">
        <v>95</v>
      </c>
      <c r="B64" s="33" t="s">
        <v>58</v>
      </c>
      <c r="C64" s="24" t="s">
        <v>170</v>
      </c>
    </row>
    <row r="65" spans="1:3" ht="19.5" thickBot="1" x14ac:dyDescent="0.35">
      <c r="A65" s="23" t="s">
        <v>85</v>
      </c>
      <c r="B65" s="33" t="s">
        <v>58</v>
      </c>
      <c r="C65" s="24" t="s">
        <v>171</v>
      </c>
    </row>
    <row r="66" spans="1:3" ht="19.5" thickBot="1" x14ac:dyDescent="0.35">
      <c r="A66" s="23" t="s">
        <v>97</v>
      </c>
      <c r="B66" s="33" t="s">
        <v>58</v>
      </c>
      <c r="C66" s="24" t="s">
        <v>172</v>
      </c>
    </row>
    <row r="67" spans="1:3" ht="19.5" thickBot="1" x14ac:dyDescent="0.35">
      <c r="A67" s="23" t="s">
        <v>88</v>
      </c>
      <c r="B67" s="33" t="s">
        <v>58</v>
      </c>
      <c r="C67" s="24" t="s">
        <v>173</v>
      </c>
    </row>
    <row r="68" spans="1:3" ht="19.5" thickBot="1" x14ac:dyDescent="0.35">
      <c r="A68" s="23" t="s">
        <v>90</v>
      </c>
      <c r="B68" s="33" t="s">
        <v>58</v>
      </c>
      <c r="C68" s="24" t="s">
        <v>174</v>
      </c>
    </row>
    <row r="69" spans="1:3" ht="19.5" thickBot="1" x14ac:dyDescent="0.35">
      <c r="A69" s="23" t="s">
        <v>99</v>
      </c>
      <c r="B69" s="33" t="s">
        <v>58</v>
      </c>
      <c r="C69" s="24" t="s">
        <v>175</v>
      </c>
    </row>
    <row r="70" spans="1:3" ht="19.5" thickBot="1" x14ac:dyDescent="0.35">
      <c r="A70" s="27" t="s">
        <v>108</v>
      </c>
      <c r="B70" s="35" t="s">
        <v>58</v>
      </c>
      <c r="C70" s="24" t="s">
        <v>176</v>
      </c>
    </row>
    <row r="71" spans="1:3" ht="18.75" x14ac:dyDescent="0.3">
      <c r="A71" s="101" t="s">
        <v>9</v>
      </c>
      <c r="B71" s="34"/>
      <c r="C71" s="102">
        <f>SUBTOTAL(103,TABLAAÑO2021[FICHA])</f>
        <v>59</v>
      </c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TextBox1">
          <controlPr defaultSize="0" autoLine="0" autoPict="0" r:id="rId4">
            <anchor moveWithCells="1">
              <from>
                <xdr:col>0</xdr:col>
                <xdr:colOff>9525</xdr:colOff>
                <xdr:row>5</xdr:row>
                <xdr:rowOff>38100</xdr:rowOff>
              </from>
              <to>
                <xdr:col>2</xdr:col>
                <xdr:colOff>762000</xdr:colOff>
                <xdr:row>6</xdr:row>
                <xdr:rowOff>66675</xdr:rowOff>
              </to>
            </anchor>
          </controlPr>
        </control>
      </mc:Choice>
      <mc:Fallback>
        <control shapeId="16385" r:id="rId3" name="TextBox1"/>
      </mc:Fallback>
    </mc:AlternateContent>
    <mc:AlternateContent xmlns:mc="http://schemas.openxmlformats.org/markup-compatibility/2006">
      <mc:Choice Requires="x14">
        <control shapeId="16386" r:id="rId5" name="Button 2">
          <controlPr defaultSize="0" print="0" autoFill="0" autoPict="0" macro="[0]!AÑO2021GUARDAR">
            <anchor moveWithCells="1" sizeWithCells="1">
              <from>
                <xdr:col>3</xdr:col>
                <xdr:colOff>285750</xdr:colOff>
                <xdr:row>7</xdr:row>
                <xdr:rowOff>9525</xdr:rowOff>
              </from>
              <to>
                <xdr:col>4</xdr:col>
                <xdr:colOff>2362200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6" name="Button 3">
          <controlPr defaultSize="0" print="0" autoFill="0" autoPict="0" macro="[0]!_xlnm.Database">
            <anchor moveWithCells="1" sizeWithCells="1">
              <from>
                <xdr:col>4</xdr:col>
                <xdr:colOff>2362200</xdr:colOff>
                <xdr:row>7</xdr:row>
                <xdr:rowOff>9525</xdr:rowOff>
              </from>
              <to>
                <xdr:col>6</xdr:col>
                <xdr:colOff>9525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7" name="Button 4">
          <controlPr defaultSize="0" print="0" autoFill="0" autoPict="0" macro="[0]!MENU">
            <anchor moveWithCells="1" sizeWithCells="1">
              <from>
                <xdr:col>6</xdr:col>
                <xdr:colOff>9525</xdr:colOff>
                <xdr:row>7</xdr:row>
                <xdr:rowOff>9525</xdr:rowOff>
              </from>
              <to>
                <xdr:col>6</xdr:col>
                <xdr:colOff>752475</xdr:colOff>
                <xdr:row>9</xdr:row>
                <xdr:rowOff>9525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C9037-45D6-4FC7-9850-4B78142F3DE1}">
  <sheetPr codeName="Hoja11">
    <tabColor rgb="FF66FF33"/>
  </sheetPr>
  <dimension ref="A1:P2301"/>
  <sheetViews>
    <sheetView workbookViewId="0">
      <selection activeCell="E17" sqref="E17"/>
    </sheetView>
  </sheetViews>
  <sheetFormatPr baseColWidth="10" defaultRowHeight="15" x14ac:dyDescent="0.25"/>
  <cols>
    <col min="1" max="1" width="50.7109375" customWidth="1"/>
    <col min="2" max="2" width="20.28515625" customWidth="1"/>
    <col min="3" max="3" width="10" customWidth="1"/>
    <col min="4" max="4" width="4.85546875" customWidth="1"/>
    <col min="5" max="5" width="36.7109375" customWidth="1"/>
    <col min="6" max="6" width="25.85546875" customWidth="1"/>
  </cols>
  <sheetData>
    <row r="1" spans="1:16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</row>
    <row r="3" spans="1:16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</row>
    <row r="4" spans="1:16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</row>
    <row r="5" spans="1:16" ht="15.75" thickBot="1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</row>
    <row r="6" spans="1:16" ht="27" thickBot="1" x14ac:dyDescent="0.45">
      <c r="A6" s="15"/>
      <c r="B6" s="15"/>
      <c r="C6" s="15"/>
      <c r="D6" s="15"/>
      <c r="E6" s="52" t="s">
        <v>3</v>
      </c>
      <c r="F6" s="53" t="s">
        <v>1</v>
      </c>
      <c r="G6" s="51" t="s">
        <v>2</v>
      </c>
      <c r="H6" s="15"/>
      <c r="I6" s="15"/>
      <c r="J6" s="15"/>
      <c r="K6" s="15"/>
      <c r="L6" s="15"/>
      <c r="M6" s="15"/>
      <c r="N6" s="15"/>
      <c r="O6" s="15"/>
      <c r="P6" s="15"/>
    </row>
    <row r="7" spans="1:16" ht="19.5" thickBot="1" x14ac:dyDescent="0.35">
      <c r="A7" s="15"/>
      <c r="B7" s="15"/>
      <c r="C7" s="15"/>
      <c r="D7" s="15"/>
      <c r="E7" s="25"/>
      <c r="F7" s="25" t="s">
        <v>117</v>
      </c>
      <c r="G7" s="57" t="s">
        <v>443</v>
      </c>
      <c r="H7" s="15"/>
      <c r="I7" s="15"/>
      <c r="J7" s="15"/>
      <c r="K7" s="15"/>
      <c r="L7" s="15"/>
      <c r="M7" s="15"/>
      <c r="N7" s="15"/>
      <c r="O7" s="15"/>
      <c r="P7" s="15"/>
    </row>
    <row r="8" spans="1:16" x14ac:dyDescent="0.25">
      <c r="A8" s="15"/>
      <c r="B8" s="15"/>
      <c r="C8" s="15"/>
      <c r="D8" s="15"/>
      <c r="E8" s="14"/>
      <c r="F8" s="14"/>
      <c r="G8" s="15"/>
      <c r="H8" s="15"/>
      <c r="I8" s="15"/>
      <c r="J8" s="15"/>
      <c r="K8" s="15"/>
      <c r="L8" s="15"/>
      <c r="M8" s="15"/>
      <c r="N8" s="15"/>
      <c r="O8" s="15"/>
      <c r="P8" s="15"/>
    </row>
    <row r="9" spans="1:16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spans="1:16" ht="15.75" thickBot="1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</row>
    <row r="11" spans="1:16" ht="19.5" thickBot="1" x14ac:dyDescent="0.35">
      <c r="A11" s="32" t="s">
        <v>4</v>
      </c>
      <c r="B11" s="32" t="s">
        <v>1</v>
      </c>
      <c r="C11" s="32" t="s">
        <v>2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pans="1:16" ht="19.5" thickBot="1" x14ac:dyDescent="0.35">
      <c r="A12" s="25" t="s">
        <v>257</v>
      </c>
      <c r="B12" s="33" t="s">
        <v>117</v>
      </c>
      <c r="C12" s="26" t="s">
        <v>118</v>
      </c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1:16" ht="19.5" thickBot="1" x14ac:dyDescent="0.35">
      <c r="A13" s="25" t="s">
        <v>190</v>
      </c>
      <c r="B13" s="33" t="s">
        <v>117</v>
      </c>
      <c r="C13" s="26" t="s">
        <v>119</v>
      </c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</row>
    <row r="14" spans="1:16" ht="19.5" thickBot="1" x14ac:dyDescent="0.35">
      <c r="A14" s="25" t="s">
        <v>258</v>
      </c>
      <c r="B14" s="33" t="s">
        <v>117</v>
      </c>
      <c r="C14" s="26" t="s">
        <v>120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 ht="19.5" thickBot="1" x14ac:dyDescent="0.35">
      <c r="A15" s="25" t="s">
        <v>201</v>
      </c>
      <c r="B15" s="33" t="s">
        <v>117</v>
      </c>
      <c r="C15" s="26" t="s">
        <v>121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</row>
    <row r="16" spans="1:16" ht="19.5" thickBot="1" x14ac:dyDescent="0.35">
      <c r="A16" s="25" t="s">
        <v>203</v>
      </c>
      <c r="B16" s="33" t="s">
        <v>117</v>
      </c>
      <c r="C16" s="26" t="s">
        <v>122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1:16" ht="19.5" thickBot="1" x14ac:dyDescent="0.35">
      <c r="A17" s="25" t="s">
        <v>189</v>
      </c>
      <c r="B17" s="33" t="s">
        <v>117</v>
      </c>
      <c r="C17" s="26" t="s">
        <v>123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</row>
    <row r="18" spans="1:16" ht="19.5" thickBot="1" x14ac:dyDescent="0.35">
      <c r="A18" s="25" t="s">
        <v>275</v>
      </c>
      <c r="B18" s="33" t="s">
        <v>117</v>
      </c>
      <c r="C18" s="26" t="s">
        <v>124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</row>
    <row r="19" spans="1:16" ht="19.5" thickBot="1" x14ac:dyDescent="0.35">
      <c r="A19" s="25" t="s">
        <v>210</v>
      </c>
      <c r="B19" s="33" t="s">
        <v>117</v>
      </c>
      <c r="C19" s="26" t="s">
        <v>125</v>
      </c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</row>
    <row r="20" spans="1:16" ht="19.5" thickBot="1" x14ac:dyDescent="0.35">
      <c r="A20" s="25" t="s">
        <v>246</v>
      </c>
      <c r="B20" s="33" t="s">
        <v>117</v>
      </c>
      <c r="C20" s="26" t="s">
        <v>126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</row>
    <row r="21" spans="1:16" ht="19.5" thickBot="1" x14ac:dyDescent="0.35">
      <c r="A21" s="25" t="s">
        <v>253</v>
      </c>
      <c r="B21" s="33" t="s">
        <v>117</v>
      </c>
      <c r="C21" s="26" t="s">
        <v>127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</row>
    <row r="22" spans="1:16" ht="19.5" thickBot="1" x14ac:dyDescent="0.35">
      <c r="A22" s="25" t="s">
        <v>195</v>
      </c>
      <c r="B22" s="33" t="s">
        <v>117</v>
      </c>
      <c r="C22" s="26" t="s">
        <v>128</v>
      </c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</row>
    <row r="23" spans="1:16" ht="19.5" thickBot="1" x14ac:dyDescent="0.35">
      <c r="A23" s="25" t="s">
        <v>226</v>
      </c>
      <c r="B23" s="33" t="s">
        <v>117</v>
      </c>
      <c r="C23" s="26" t="s">
        <v>129</v>
      </c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1:16" ht="19.5" thickBot="1" x14ac:dyDescent="0.35">
      <c r="A24" s="25" t="s">
        <v>211</v>
      </c>
      <c r="B24" s="33" t="s">
        <v>117</v>
      </c>
      <c r="C24" s="26" t="s">
        <v>130</v>
      </c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5" spans="1:16" ht="19.5" thickBot="1" x14ac:dyDescent="0.35">
      <c r="A25" s="25" t="s">
        <v>250</v>
      </c>
      <c r="B25" s="33" t="s">
        <v>117</v>
      </c>
      <c r="C25" s="26" t="s">
        <v>131</v>
      </c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6" ht="19.5" thickBot="1" x14ac:dyDescent="0.35">
      <c r="A26" s="25" t="s">
        <v>213</v>
      </c>
      <c r="B26" s="33" t="s">
        <v>117</v>
      </c>
      <c r="C26" s="26" t="s">
        <v>132</v>
      </c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</row>
    <row r="27" spans="1:16" ht="19.5" thickBot="1" x14ac:dyDescent="0.35">
      <c r="A27" s="25" t="s">
        <v>245</v>
      </c>
      <c r="B27" s="33" t="s">
        <v>117</v>
      </c>
      <c r="C27" s="26" t="s">
        <v>133</v>
      </c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</row>
    <row r="28" spans="1:16" ht="19.5" thickBot="1" x14ac:dyDescent="0.35">
      <c r="A28" s="25" t="s">
        <v>212</v>
      </c>
      <c r="B28" s="33" t="s">
        <v>117</v>
      </c>
      <c r="C28" s="26" t="s">
        <v>134</v>
      </c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pans="1:16" ht="19.5" thickBot="1" x14ac:dyDescent="0.35">
      <c r="A29" s="25" t="s">
        <v>200</v>
      </c>
      <c r="B29" s="33" t="s">
        <v>117</v>
      </c>
      <c r="C29" s="26" t="s">
        <v>135</v>
      </c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pans="1:16" ht="19.5" thickBot="1" x14ac:dyDescent="0.35">
      <c r="A30" s="25" t="s">
        <v>188</v>
      </c>
      <c r="B30" s="33" t="s">
        <v>117</v>
      </c>
      <c r="C30" s="26" t="s">
        <v>136</v>
      </c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pans="1:16" ht="19.5" thickBot="1" x14ac:dyDescent="0.35">
      <c r="A31" s="25" t="s">
        <v>265</v>
      </c>
      <c r="B31" s="33" t="s">
        <v>117</v>
      </c>
      <c r="C31" s="26" t="s">
        <v>137</v>
      </c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pans="1:16" ht="19.5" thickBot="1" x14ac:dyDescent="0.35">
      <c r="A32" s="25" t="s">
        <v>227</v>
      </c>
      <c r="B32" s="33" t="s">
        <v>117</v>
      </c>
      <c r="C32" s="26" t="s">
        <v>138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3" spans="1:16" ht="19.5" thickBot="1" x14ac:dyDescent="0.35">
      <c r="A33" s="25" t="s">
        <v>264</v>
      </c>
      <c r="B33" s="33" t="s">
        <v>117</v>
      </c>
      <c r="C33" s="26" t="s">
        <v>139</v>
      </c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</row>
    <row r="34" spans="1:16" ht="19.5" thickBot="1" x14ac:dyDescent="0.35">
      <c r="A34" s="25" t="s">
        <v>202</v>
      </c>
      <c r="B34" s="33" t="s">
        <v>117</v>
      </c>
      <c r="C34" s="26" t="s">
        <v>140</v>
      </c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</row>
    <row r="35" spans="1:16" ht="19.5" thickBot="1" x14ac:dyDescent="0.35">
      <c r="A35" s="25" t="s">
        <v>181</v>
      </c>
      <c r="B35" s="33" t="s">
        <v>117</v>
      </c>
      <c r="C35" s="26" t="s">
        <v>141</v>
      </c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</row>
    <row r="36" spans="1:16" ht="19.5" thickBot="1" x14ac:dyDescent="0.35">
      <c r="A36" s="25" t="s">
        <v>179</v>
      </c>
      <c r="B36" s="33" t="s">
        <v>117</v>
      </c>
      <c r="C36" s="26" t="s">
        <v>142</v>
      </c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</row>
    <row r="37" spans="1:16" ht="19.5" thickBot="1" x14ac:dyDescent="0.35">
      <c r="A37" s="25" t="s">
        <v>223</v>
      </c>
      <c r="B37" s="33" t="s">
        <v>117</v>
      </c>
      <c r="C37" s="26" t="s">
        <v>143</v>
      </c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</row>
    <row r="38" spans="1:16" ht="19.5" thickBot="1" x14ac:dyDescent="0.35">
      <c r="A38" s="25" t="s">
        <v>229</v>
      </c>
      <c r="B38" s="33" t="s">
        <v>117</v>
      </c>
      <c r="C38" s="26" t="s">
        <v>144</v>
      </c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</row>
    <row r="39" spans="1:16" ht="19.5" thickBot="1" x14ac:dyDescent="0.35">
      <c r="A39" s="25" t="s">
        <v>225</v>
      </c>
      <c r="B39" s="33" t="s">
        <v>117</v>
      </c>
      <c r="C39" s="26" t="s">
        <v>145</v>
      </c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</row>
    <row r="40" spans="1:16" ht="19.5" thickBot="1" x14ac:dyDescent="0.35">
      <c r="A40" s="25" t="s">
        <v>240</v>
      </c>
      <c r="B40" s="33" t="s">
        <v>117</v>
      </c>
      <c r="C40" s="26" t="s">
        <v>146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</row>
    <row r="41" spans="1:16" ht="19.5" thickBot="1" x14ac:dyDescent="0.35">
      <c r="A41" s="25" t="s">
        <v>187</v>
      </c>
      <c r="B41" s="33" t="s">
        <v>117</v>
      </c>
      <c r="C41" s="26" t="s">
        <v>147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</row>
    <row r="42" spans="1:16" ht="19.5" thickBot="1" x14ac:dyDescent="0.35">
      <c r="A42" s="25" t="s">
        <v>241</v>
      </c>
      <c r="B42" s="33" t="s">
        <v>117</v>
      </c>
      <c r="C42" s="26" t="s">
        <v>148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</row>
    <row r="43" spans="1:16" ht="19.5" thickBot="1" x14ac:dyDescent="0.35">
      <c r="A43" s="25" t="s">
        <v>263</v>
      </c>
      <c r="B43" s="33" t="s">
        <v>117</v>
      </c>
      <c r="C43" s="26" t="s">
        <v>149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</row>
    <row r="44" spans="1:16" ht="19.5" thickBot="1" x14ac:dyDescent="0.35">
      <c r="A44" s="25" t="s">
        <v>268</v>
      </c>
      <c r="B44" s="33" t="s">
        <v>117</v>
      </c>
      <c r="C44" s="26" t="s">
        <v>150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</row>
    <row r="45" spans="1:16" ht="19.5" thickBot="1" x14ac:dyDescent="0.35">
      <c r="A45" s="25" t="s">
        <v>260</v>
      </c>
      <c r="B45" s="33" t="s">
        <v>117</v>
      </c>
      <c r="C45" s="26" t="s">
        <v>151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</row>
    <row r="46" spans="1:16" ht="19.5" thickBot="1" x14ac:dyDescent="0.35">
      <c r="A46" s="25" t="s">
        <v>180</v>
      </c>
      <c r="B46" s="33" t="s">
        <v>117</v>
      </c>
      <c r="C46" s="26" t="s">
        <v>152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</row>
    <row r="47" spans="1:16" ht="19.5" thickBot="1" x14ac:dyDescent="0.35">
      <c r="A47" s="25" t="s">
        <v>198</v>
      </c>
      <c r="B47" s="33" t="s">
        <v>117</v>
      </c>
      <c r="C47" s="26" t="s">
        <v>153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</row>
    <row r="48" spans="1:16" ht="19.5" thickBot="1" x14ac:dyDescent="0.35">
      <c r="A48" s="25" t="s">
        <v>186</v>
      </c>
      <c r="B48" s="33" t="s">
        <v>117</v>
      </c>
      <c r="C48" s="26" t="s">
        <v>154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</row>
    <row r="49" spans="1:16" ht="19.5" thickBot="1" x14ac:dyDescent="0.35">
      <c r="A49" s="25" t="s">
        <v>214</v>
      </c>
      <c r="B49" s="33" t="s">
        <v>117</v>
      </c>
      <c r="C49" s="26" t="s">
        <v>155</v>
      </c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</row>
    <row r="50" spans="1:16" ht="19.5" thickBot="1" x14ac:dyDescent="0.35">
      <c r="A50" s="25" t="s">
        <v>267</v>
      </c>
      <c r="B50" s="33" t="s">
        <v>117</v>
      </c>
      <c r="C50" s="26" t="s">
        <v>156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</row>
    <row r="51" spans="1:16" ht="19.5" thickBot="1" x14ac:dyDescent="0.35">
      <c r="A51" s="25" t="s">
        <v>184</v>
      </c>
      <c r="B51" s="33" t="s">
        <v>117</v>
      </c>
      <c r="C51" s="26" t="s">
        <v>157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</row>
    <row r="52" spans="1:16" ht="19.5" thickBot="1" x14ac:dyDescent="0.35">
      <c r="A52" s="25" t="s">
        <v>178</v>
      </c>
      <c r="B52" s="33" t="s">
        <v>117</v>
      </c>
      <c r="C52" s="26" t="s">
        <v>158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</row>
    <row r="53" spans="1:16" ht="19.5" thickBot="1" x14ac:dyDescent="0.35">
      <c r="A53" s="25" t="s">
        <v>266</v>
      </c>
      <c r="B53" s="33" t="s">
        <v>117</v>
      </c>
      <c r="C53" s="26" t="s">
        <v>159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</row>
    <row r="54" spans="1:16" ht="19.5" thickBot="1" x14ac:dyDescent="0.35">
      <c r="A54" s="25" t="s">
        <v>215</v>
      </c>
      <c r="B54" s="33" t="s">
        <v>117</v>
      </c>
      <c r="C54" s="26" t="s">
        <v>160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</row>
    <row r="55" spans="1:16" ht="19.5" thickBot="1" x14ac:dyDescent="0.35">
      <c r="A55" s="25" t="s">
        <v>354</v>
      </c>
      <c r="B55" s="33" t="s">
        <v>117</v>
      </c>
      <c r="C55" s="26" t="s">
        <v>161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</row>
    <row r="56" spans="1:16" ht="19.5" thickBot="1" x14ac:dyDescent="0.35">
      <c r="A56" s="25" t="s">
        <v>197</v>
      </c>
      <c r="B56" s="33" t="s">
        <v>117</v>
      </c>
      <c r="C56" s="26" t="s">
        <v>162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</row>
    <row r="57" spans="1:16" ht="19.5" thickBot="1" x14ac:dyDescent="0.35">
      <c r="A57" s="25" t="s">
        <v>249</v>
      </c>
      <c r="B57" s="33" t="s">
        <v>117</v>
      </c>
      <c r="C57" s="26" t="s">
        <v>163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</row>
    <row r="58" spans="1:16" ht="19.5" thickBot="1" x14ac:dyDescent="0.35">
      <c r="A58" s="25" t="s">
        <v>236</v>
      </c>
      <c r="B58" s="33" t="s">
        <v>117</v>
      </c>
      <c r="C58" s="26" t="s">
        <v>164</v>
      </c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</row>
    <row r="59" spans="1:16" ht="19.5" thickBot="1" x14ac:dyDescent="0.35">
      <c r="A59" s="25" t="s">
        <v>228</v>
      </c>
      <c r="B59" s="33" t="s">
        <v>117</v>
      </c>
      <c r="C59" s="26" t="s">
        <v>165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</row>
    <row r="60" spans="1:16" ht="19.5" thickBot="1" x14ac:dyDescent="0.35">
      <c r="A60" s="25" t="s">
        <v>206</v>
      </c>
      <c r="B60" s="33" t="s">
        <v>117</v>
      </c>
      <c r="C60" s="26" t="s">
        <v>166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</row>
    <row r="61" spans="1:16" ht="19.5" thickBot="1" x14ac:dyDescent="0.35">
      <c r="A61" s="25" t="s">
        <v>217</v>
      </c>
      <c r="B61" s="33" t="s">
        <v>117</v>
      </c>
      <c r="C61" s="26" t="s">
        <v>167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</row>
    <row r="62" spans="1:16" ht="19.5" thickBot="1" x14ac:dyDescent="0.35">
      <c r="A62" s="25" t="s">
        <v>207</v>
      </c>
      <c r="B62" s="33" t="s">
        <v>117</v>
      </c>
      <c r="C62" s="26" t="s">
        <v>168</v>
      </c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</row>
    <row r="63" spans="1:16" ht="19.5" thickBot="1" x14ac:dyDescent="0.35">
      <c r="A63" s="25" t="s">
        <v>262</v>
      </c>
      <c r="B63" s="33" t="s">
        <v>117</v>
      </c>
      <c r="C63" s="26" t="s">
        <v>169</v>
      </c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</row>
    <row r="64" spans="1:16" ht="19.5" thickBot="1" x14ac:dyDescent="0.35">
      <c r="A64" s="25" t="s">
        <v>209</v>
      </c>
      <c r="B64" s="33" t="s">
        <v>117</v>
      </c>
      <c r="C64" s="26" t="s">
        <v>170</v>
      </c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</row>
    <row r="65" spans="1:16" ht="19.5" thickBot="1" x14ac:dyDescent="0.35">
      <c r="A65" s="25" t="s">
        <v>193</v>
      </c>
      <c r="B65" s="33" t="s">
        <v>117</v>
      </c>
      <c r="C65" s="26" t="s">
        <v>171</v>
      </c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</row>
    <row r="66" spans="1:16" ht="19.5" thickBot="1" x14ac:dyDescent="0.35">
      <c r="A66" s="25" t="s">
        <v>254</v>
      </c>
      <c r="B66" s="33" t="s">
        <v>117</v>
      </c>
      <c r="C66" s="26" t="s">
        <v>172</v>
      </c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</row>
    <row r="67" spans="1:16" ht="19.5" thickBot="1" x14ac:dyDescent="0.35">
      <c r="A67" s="25" t="s">
        <v>219</v>
      </c>
      <c r="B67" s="33" t="s">
        <v>117</v>
      </c>
      <c r="C67" s="26" t="s">
        <v>173</v>
      </c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</row>
    <row r="68" spans="1:16" ht="19.5" thickBot="1" x14ac:dyDescent="0.35">
      <c r="A68" s="25" t="s">
        <v>234</v>
      </c>
      <c r="B68" s="33" t="s">
        <v>117</v>
      </c>
      <c r="C68" s="26" t="s">
        <v>174</v>
      </c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</row>
    <row r="69" spans="1:16" ht="19.5" thickBot="1" x14ac:dyDescent="0.35">
      <c r="A69" s="25" t="s">
        <v>196</v>
      </c>
      <c r="B69" s="33" t="s">
        <v>117</v>
      </c>
      <c r="C69" s="26" t="s">
        <v>175</v>
      </c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</row>
    <row r="70" spans="1:16" ht="19.5" thickBot="1" x14ac:dyDescent="0.35">
      <c r="A70" s="25" t="s">
        <v>357</v>
      </c>
      <c r="B70" s="33" t="s">
        <v>117</v>
      </c>
      <c r="C70" s="26" t="s">
        <v>176</v>
      </c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</row>
    <row r="71" spans="1:16" ht="19.5" thickBot="1" x14ac:dyDescent="0.35">
      <c r="A71" s="25" t="s">
        <v>192</v>
      </c>
      <c r="B71" s="33" t="s">
        <v>117</v>
      </c>
      <c r="C71" s="26" t="s">
        <v>278</v>
      </c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</row>
    <row r="72" spans="1:16" ht="19.5" thickBot="1" x14ac:dyDescent="0.35">
      <c r="A72" s="25" t="s">
        <v>183</v>
      </c>
      <c r="B72" s="33" t="s">
        <v>117</v>
      </c>
      <c r="C72" s="26" t="s">
        <v>279</v>
      </c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</row>
    <row r="73" spans="1:16" ht="19.5" thickBot="1" x14ac:dyDescent="0.35">
      <c r="A73" s="25" t="s">
        <v>204</v>
      </c>
      <c r="B73" s="33" t="s">
        <v>117</v>
      </c>
      <c r="C73" s="26" t="s">
        <v>280</v>
      </c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</row>
    <row r="74" spans="1:16" ht="19.5" thickBot="1" x14ac:dyDescent="0.35">
      <c r="A74" s="25" t="s">
        <v>247</v>
      </c>
      <c r="B74" s="33" t="s">
        <v>117</v>
      </c>
      <c r="C74" s="26" t="s">
        <v>281</v>
      </c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</row>
    <row r="75" spans="1:16" ht="19.5" thickBot="1" x14ac:dyDescent="0.35">
      <c r="A75" s="25" t="s">
        <v>230</v>
      </c>
      <c r="B75" s="33" t="s">
        <v>117</v>
      </c>
      <c r="C75" s="26" t="s">
        <v>282</v>
      </c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</row>
    <row r="76" spans="1:16" ht="19.5" thickBot="1" x14ac:dyDescent="0.35">
      <c r="A76" s="25" t="s">
        <v>222</v>
      </c>
      <c r="B76" s="33" t="s">
        <v>117</v>
      </c>
      <c r="C76" s="26" t="s">
        <v>283</v>
      </c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</row>
    <row r="77" spans="1:16" ht="19.5" thickBot="1" x14ac:dyDescent="0.35">
      <c r="A77" s="25" t="s">
        <v>216</v>
      </c>
      <c r="B77" s="33" t="s">
        <v>117</v>
      </c>
      <c r="C77" s="26" t="s">
        <v>284</v>
      </c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</row>
    <row r="78" spans="1:16" ht="19.5" thickBot="1" x14ac:dyDescent="0.35">
      <c r="A78" s="25" t="s">
        <v>191</v>
      </c>
      <c r="B78" s="33" t="s">
        <v>117</v>
      </c>
      <c r="C78" s="26" t="s">
        <v>285</v>
      </c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</row>
    <row r="79" spans="1:16" ht="19.5" thickBot="1" x14ac:dyDescent="0.35">
      <c r="A79" s="25" t="s">
        <v>231</v>
      </c>
      <c r="B79" s="33" t="s">
        <v>117</v>
      </c>
      <c r="C79" s="26" t="s">
        <v>286</v>
      </c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</row>
    <row r="80" spans="1:16" ht="19.5" thickBot="1" x14ac:dyDescent="0.35">
      <c r="A80" s="25" t="s">
        <v>220</v>
      </c>
      <c r="B80" s="33" t="s">
        <v>117</v>
      </c>
      <c r="C80" s="26" t="s">
        <v>287</v>
      </c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</row>
    <row r="81" spans="1:16" ht="19.5" thickBot="1" x14ac:dyDescent="0.35">
      <c r="A81" s="25" t="s">
        <v>205</v>
      </c>
      <c r="B81" s="33" t="s">
        <v>117</v>
      </c>
      <c r="C81" s="26" t="s">
        <v>288</v>
      </c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</row>
    <row r="82" spans="1:16" ht="19.5" thickBot="1" x14ac:dyDescent="0.35">
      <c r="A82" s="25" t="s">
        <v>244</v>
      </c>
      <c r="B82" s="33" t="s">
        <v>117</v>
      </c>
      <c r="C82" s="26" t="s">
        <v>289</v>
      </c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</row>
    <row r="83" spans="1:16" ht="19.5" thickBot="1" x14ac:dyDescent="0.35">
      <c r="A83" s="25" t="s">
        <v>208</v>
      </c>
      <c r="B83" s="33" t="s">
        <v>117</v>
      </c>
      <c r="C83" s="26" t="s">
        <v>290</v>
      </c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</row>
    <row r="84" spans="1:16" ht="19.5" thickBot="1" x14ac:dyDescent="0.35">
      <c r="A84" s="25" t="s">
        <v>274</v>
      </c>
      <c r="B84" s="33" t="s">
        <v>117</v>
      </c>
      <c r="C84" s="26" t="s">
        <v>291</v>
      </c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</row>
    <row r="85" spans="1:16" ht="19.5" thickBot="1" x14ac:dyDescent="0.35">
      <c r="A85" s="25" t="s">
        <v>237</v>
      </c>
      <c r="B85" s="33" t="s">
        <v>117</v>
      </c>
      <c r="C85" s="26" t="s">
        <v>292</v>
      </c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</row>
    <row r="86" spans="1:16" ht="19.5" thickBot="1" x14ac:dyDescent="0.35">
      <c r="A86" s="25" t="s">
        <v>224</v>
      </c>
      <c r="B86" s="33" t="s">
        <v>117</v>
      </c>
      <c r="C86" s="26" t="s">
        <v>293</v>
      </c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</row>
    <row r="87" spans="1:16" ht="19.5" thickBot="1" x14ac:dyDescent="0.35">
      <c r="A87" s="25" t="s">
        <v>277</v>
      </c>
      <c r="B87" s="33" t="s">
        <v>117</v>
      </c>
      <c r="C87" s="26" t="s">
        <v>294</v>
      </c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</row>
    <row r="88" spans="1:16" ht="19.5" thickBot="1" x14ac:dyDescent="0.35">
      <c r="A88" s="25" t="s">
        <v>248</v>
      </c>
      <c r="B88" s="33" t="s">
        <v>117</v>
      </c>
      <c r="C88" s="26" t="s">
        <v>295</v>
      </c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</row>
    <row r="89" spans="1:16" ht="19.5" thickBot="1" x14ac:dyDescent="0.35">
      <c r="A89" s="25" t="s">
        <v>355</v>
      </c>
      <c r="B89" s="33" t="s">
        <v>117</v>
      </c>
      <c r="C89" s="26" t="s">
        <v>296</v>
      </c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</row>
    <row r="90" spans="1:16" ht="19.5" thickBot="1" x14ac:dyDescent="0.35">
      <c r="A90" s="25" t="s">
        <v>251</v>
      </c>
      <c r="B90" s="33" t="s">
        <v>117</v>
      </c>
      <c r="C90" s="26" t="s">
        <v>297</v>
      </c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</row>
    <row r="91" spans="1:16" ht="19.5" thickBot="1" x14ac:dyDescent="0.35">
      <c r="A91" s="25" t="s">
        <v>270</v>
      </c>
      <c r="B91" s="33" t="s">
        <v>117</v>
      </c>
      <c r="C91" s="26" t="s">
        <v>298</v>
      </c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</row>
    <row r="92" spans="1:16" ht="19.5" thickBot="1" x14ac:dyDescent="0.35">
      <c r="A92" s="25" t="s">
        <v>233</v>
      </c>
      <c r="B92" s="33" t="s">
        <v>117</v>
      </c>
      <c r="C92" s="26" t="s">
        <v>299</v>
      </c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</row>
    <row r="93" spans="1:16" ht="19.5" thickBot="1" x14ac:dyDescent="0.35">
      <c r="A93" s="25" t="s">
        <v>239</v>
      </c>
      <c r="B93" s="33" t="s">
        <v>117</v>
      </c>
      <c r="C93" s="26" t="s">
        <v>300</v>
      </c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</row>
    <row r="94" spans="1:16" ht="19.5" thickBot="1" x14ac:dyDescent="0.35">
      <c r="A94" s="25" t="s">
        <v>221</v>
      </c>
      <c r="B94" s="33" t="s">
        <v>117</v>
      </c>
      <c r="C94" s="26" t="s">
        <v>301</v>
      </c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</row>
    <row r="95" spans="1:16" ht="19.5" thickBot="1" x14ac:dyDescent="0.35">
      <c r="A95" s="25" t="s">
        <v>276</v>
      </c>
      <c r="B95" s="33" t="s">
        <v>117</v>
      </c>
      <c r="C95" s="26" t="s">
        <v>302</v>
      </c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</row>
    <row r="96" spans="1:16" ht="19.5" thickBot="1" x14ac:dyDescent="0.35">
      <c r="A96" s="25" t="s">
        <v>261</v>
      </c>
      <c r="B96" s="33" t="s">
        <v>117</v>
      </c>
      <c r="C96" s="26" t="s">
        <v>303</v>
      </c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</row>
    <row r="97" spans="1:16" ht="19.5" thickBot="1" x14ac:dyDescent="0.35">
      <c r="A97" s="25" t="s">
        <v>271</v>
      </c>
      <c r="B97" s="33" t="s">
        <v>117</v>
      </c>
      <c r="C97" s="26" t="s">
        <v>304</v>
      </c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</row>
    <row r="98" spans="1:16" ht="19.5" thickBot="1" x14ac:dyDescent="0.35">
      <c r="A98" s="25" t="s">
        <v>238</v>
      </c>
      <c r="B98" s="33" t="s">
        <v>117</v>
      </c>
      <c r="C98" s="26" t="s">
        <v>305</v>
      </c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</row>
    <row r="99" spans="1:16" ht="19.5" thickBot="1" x14ac:dyDescent="0.35">
      <c r="A99" s="25" t="s">
        <v>358</v>
      </c>
      <c r="B99" s="33" t="s">
        <v>117</v>
      </c>
      <c r="C99" s="26" t="s">
        <v>306</v>
      </c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</row>
    <row r="100" spans="1:16" ht="19.5" thickBot="1" x14ac:dyDescent="0.35">
      <c r="A100" s="25" t="s">
        <v>242</v>
      </c>
      <c r="B100" s="33" t="s">
        <v>117</v>
      </c>
      <c r="C100" s="26" t="s">
        <v>307</v>
      </c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</row>
    <row r="101" spans="1:16" ht="19.5" thickBot="1" x14ac:dyDescent="0.35">
      <c r="A101" s="25" t="s">
        <v>272</v>
      </c>
      <c r="B101" s="33" t="s">
        <v>117</v>
      </c>
      <c r="C101" s="26" t="s">
        <v>308</v>
      </c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</row>
    <row r="102" spans="1:16" ht="19.5" thickBot="1" x14ac:dyDescent="0.35">
      <c r="A102" s="25" t="s">
        <v>269</v>
      </c>
      <c r="B102" s="33" t="s">
        <v>117</v>
      </c>
      <c r="C102" s="26" t="s">
        <v>309</v>
      </c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</row>
    <row r="103" spans="1:16" ht="19.5" thickBot="1" x14ac:dyDescent="0.35">
      <c r="A103" s="25" t="s">
        <v>252</v>
      </c>
      <c r="B103" s="33" t="s">
        <v>117</v>
      </c>
      <c r="C103" s="26" t="s">
        <v>310</v>
      </c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</row>
    <row r="104" spans="1:16" ht="19.5" thickBot="1" x14ac:dyDescent="0.35">
      <c r="A104" s="25" t="s">
        <v>273</v>
      </c>
      <c r="B104" s="33" t="s">
        <v>117</v>
      </c>
      <c r="C104" s="26" t="s">
        <v>311</v>
      </c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</row>
    <row r="105" spans="1:16" ht="19.5" thickBot="1" x14ac:dyDescent="0.35">
      <c r="A105" s="25" t="s">
        <v>177</v>
      </c>
      <c r="B105" s="33" t="s">
        <v>117</v>
      </c>
      <c r="C105" s="26" t="s">
        <v>312</v>
      </c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</row>
    <row r="106" spans="1:16" ht="19.5" thickBot="1" x14ac:dyDescent="0.35">
      <c r="A106" s="25" t="s">
        <v>218</v>
      </c>
      <c r="B106" s="33" t="s">
        <v>117</v>
      </c>
      <c r="C106" s="26" t="s">
        <v>313</v>
      </c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</row>
    <row r="107" spans="1:16" ht="19.5" thickBot="1" x14ac:dyDescent="0.35">
      <c r="A107" s="25" t="s">
        <v>259</v>
      </c>
      <c r="B107" s="33" t="s">
        <v>117</v>
      </c>
      <c r="C107" s="26" t="s">
        <v>314</v>
      </c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</row>
    <row r="108" spans="1:16" ht="19.5" thickBot="1" x14ac:dyDescent="0.35">
      <c r="A108" s="25" t="s">
        <v>243</v>
      </c>
      <c r="B108" s="33" t="s">
        <v>117</v>
      </c>
      <c r="C108" s="26" t="s">
        <v>315</v>
      </c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</row>
    <row r="109" spans="1:16" ht="19.5" thickBot="1" x14ac:dyDescent="0.35">
      <c r="A109" s="25" t="s">
        <v>194</v>
      </c>
      <c r="B109" s="33" t="s">
        <v>117</v>
      </c>
      <c r="C109" s="26" t="s">
        <v>316</v>
      </c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</row>
    <row r="110" spans="1:16" ht="19.5" thickBot="1" x14ac:dyDescent="0.35">
      <c r="A110" s="25" t="s">
        <v>232</v>
      </c>
      <c r="B110" s="33" t="s">
        <v>117</v>
      </c>
      <c r="C110" s="26" t="s">
        <v>317</v>
      </c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</row>
    <row r="111" spans="1:16" ht="19.5" thickBot="1" x14ac:dyDescent="0.35">
      <c r="A111" s="25" t="s">
        <v>235</v>
      </c>
      <c r="B111" s="33" t="s">
        <v>117</v>
      </c>
      <c r="C111" s="26" t="s">
        <v>318</v>
      </c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</row>
    <row r="112" spans="1:16" ht="19.5" thickBot="1" x14ac:dyDescent="0.35">
      <c r="A112" s="25" t="s">
        <v>256</v>
      </c>
      <c r="B112" s="33" t="s">
        <v>117</v>
      </c>
      <c r="C112" s="26" t="s">
        <v>319</v>
      </c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</row>
    <row r="113" spans="1:16" ht="19.5" thickBot="1" x14ac:dyDescent="0.35">
      <c r="A113" s="24" t="s">
        <v>356</v>
      </c>
      <c r="B113" s="24"/>
      <c r="C113" s="26">
        <f ca="1">B28:C113=SUBTOTAL(103,TABLAAÑO2022[FICHA])</f>
        <v>0</v>
      </c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</row>
    <row r="114" spans="1:16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</row>
    <row r="115" spans="1:16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</row>
    <row r="116" spans="1:16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</row>
    <row r="117" spans="1:16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</row>
    <row r="118" spans="1:16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</row>
    <row r="119" spans="1:16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</row>
    <row r="120" spans="1:16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</row>
    <row r="121" spans="1:16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</row>
    <row r="122" spans="1:16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</row>
    <row r="123" spans="1:16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</row>
    <row r="124" spans="1:16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</row>
    <row r="125" spans="1:16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</row>
    <row r="126" spans="1:16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</row>
    <row r="127" spans="1:16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</row>
    <row r="128" spans="1:16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</row>
    <row r="129" spans="1:16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</row>
    <row r="130" spans="1:16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</row>
    <row r="131" spans="1:16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</row>
    <row r="132" spans="1:16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</row>
    <row r="133" spans="1:16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</row>
    <row r="134" spans="1:16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</row>
    <row r="135" spans="1:16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</row>
    <row r="136" spans="1:16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</row>
    <row r="137" spans="1:16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</row>
    <row r="138" spans="1:16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</row>
    <row r="139" spans="1:16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</row>
    <row r="140" spans="1:16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</row>
    <row r="141" spans="1:16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</row>
    <row r="142" spans="1:16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</row>
    <row r="143" spans="1:16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</row>
    <row r="144" spans="1:16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</row>
    <row r="145" spans="1:16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</row>
    <row r="146" spans="1:16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</row>
    <row r="147" spans="1:16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</row>
    <row r="148" spans="1:16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</row>
    <row r="149" spans="1:16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</row>
    <row r="150" spans="1:16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</row>
    <row r="151" spans="1:16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</row>
    <row r="152" spans="1:16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</row>
    <row r="153" spans="1:16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</row>
    <row r="154" spans="1:16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</row>
    <row r="155" spans="1:16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</row>
    <row r="156" spans="1:16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</row>
    <row r="157" spans="1:16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</row>
    <row r="158" spans="1:16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</row>
    <row r="159" spans="1:16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</row>
    <row r="160" spans="1:16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</row>
    <row r="161" spans="1:16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</row>
    <row r="162" spans="1:16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</row>
    <row r="163" spans="1:16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</row>
    <row r="164" spans="1:16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</row>
    <row r="165" spans="1:16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</row>
    <row r="166" spans="1:16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</row>
    <row r="167" spans="1:16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</row>
    <row r="168" spans="1:16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</row>
    <row r="169" spans="1:16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</row>
    <row r="170" spans="1:16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</row>
    <row r="171" spans="1:16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</row>
    <row r="172" spans="1:16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</row>
    <row r="173" spans="1:16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</row>
    <row r="174" spans="1:16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</row>
    <row r="175" spans="1:16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</row>
    <row r="176" spans="1:16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</row>
    <row r="177" spans="1:16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</row>
    <row r="178" spans="1:16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</row>
    <row r="179" spans="1:16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</row>
    <row r="180" spans="1:16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</row>
    <row r="181" spans="1:16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</row>
    <row r="182" spans="1:16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</row>
    <row r="183" spans="1:16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</row>
    <row r="184" spans="1:16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</row>
    <row r="185" spans="1:16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</row>
    <row r="186" spans="1:16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</row>
    <row r="187" spans="1:16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</row>
    <row r="188" spans="1:16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</row>
    <row r="189" spans="1:16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</row>
    <row r="190" spans="1:16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</row>
    <row r="191" spans="1:16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</row>
    <row r="192" spans="1:16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</row>
    <row r="193" spans="1:16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</row>
    <row r="194" spans="1:16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</row>
    <row r="195" spans="1:16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</row>
    <row r="196" spans="1:16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</row>
    <row r="197" spans="1:16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</row>
    <row r="198" spans="1:16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</row>
    <row r="199" spans="1:16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</row>
    <row r="200" spans="1:16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</row>
    <row r="201" spans="1:16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</row>
    <row r="202" spans="1:16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</row>
    <row r="203" spans="1:16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</row>
    <row r="204" spans="1:16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</row>
    <row r="205" spans="1:16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</row>
    <row r="206" spans="1:16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</row>
    <row r="207" spans="1:16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</row>
    <row r="208" spans="1:16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</row>
    <row r="209" spans="1:16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</row>
    <row r="210" spans="1:16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</row>
    <row r="211" spans="1:16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</row>
    <row r="212" spans="1:16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</row>
    <row r="213" spans="1:16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</row>
    <row r="214" spans="1:16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</row>
    <row r="215" spans="1:16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</row>
    <row r="216" spans="1:16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</row>
    <row r="217" spans="1:16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</row>
    <row r="218" spans="1:16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</row>
    <row r="219" spans="1:16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</row>
    <row r="220" spans="1:16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</row>
    <row r="221" spans="1:16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</row>
    <row r="222" spans="1:16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</row>
    <row r="223" spans="1:16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</row>
    <row r="224" spans="1:16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</row>
    <row r="225" spans="1:16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</row>
    <row r="226" spans="1:16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</row>
    <row r="227" spans="1:16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</row>
    <row r="228" spans="1:16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</row>
    <row r="229" spans="1:16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</row>
    <row r="230" spans="1:16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</row>
    <row r="231" spans="1:16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</row>
    <row r="232" spans="1:16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</row>
    <row r="233" spans="1:16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</row>
    <row r="234" spans="1:16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</row>
    <row r="235" spans="1:16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</row>
    <row r="236" spans="1:16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</row>
    <row r="237" spans="1:16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</row>
    <row r="238" spans="1:16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</row>
    <row r="239" spans="1:16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</row>
    <row r="240" spans="1:16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</row>
    <row r="241" spans="1:16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</row>
    <row r="242" spans="1:16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</row>
    <row r="243" spans="1:16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</row>
    <row r="244" spans="1:16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</row>
    <row r="245" spans="1:16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</row>
    <row r="246" spans="1:16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</row>
    <row r="247" spans="1:16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</row>
    <row r="248" spans="1:16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</row>
    <row r="249" spans="1:16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</row>
    <row r="250" spans="1:16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</row>
    <row r="251" spans="1:16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</row>
    <row r="252" spans="1:16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</row>
    <row r="253" spans="1:16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</row>
    <row r="254" spans="1:16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</row>
    <row r="255" spans="1:16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</row>
    <row r="256" spans="1:16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</row>
    <row r="257" spans="1:16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</row>
    <row r="258" spans="1:16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</row>
    <row r="259" spans="1:16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</row>
    <row r="260" spans="1:16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</row>
    <row r="261" spans="1:16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</row>
    <row r="262" spans="1:16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</row>
    <row r="263" spans="1:16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</row>
    <row r="264" spans="1:16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</row>
    <row r="265" spans="1:16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</row>
    <row r="266" spans="1:16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</row>
    <row r="267" spans="1:16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</row>
    <row r="268" spans="1:16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</row>
    <row r="269" spans="1:16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</row>
    <row r="270" spans="1:16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</row>
    <row r="271" spans="1:16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</row>
    <row r="272" spans="1:16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</row>
    <row r="273" spans="1:16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</row>
    <row r="274" spans="1:16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</row>
    <row r="275" spans="1:16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</row>
    <row r="276" spans="1:16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</row>
    <row r="277" spans="1:16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</row>
    <row r="278" spans="1:16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</row>
    <row r="279" spans="1:16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</row>
    <row r="280" spans="1:16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</row>
    <row r="281" spans="1:16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</row>
    <row r="282" spans="1:16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</row>
    <row r="283" spans="1:16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</row>
    <row r="284" spans="1:16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</row>
    <row r="285" spans="1:16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</row>
    <row r="286" spans="1:16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</row>
    <row r="287" spans="1:16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</row>
    <row r="288" spans="1:16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</row>
    <row r="289" spans="1:16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</row>
    <row r="290" spans="1:16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</row>
    <row r="291" spans="1:16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</row>
    <row r="292" spans="1:16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</row>
    <row r="293" spans="1:16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</row>
    <row r="294" spans="1:16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</row>
    <row r="295" spans="1:16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</row>
    <row r="296" spans="1:16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</row>
    <row r="297" spans="1:16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</row>
    <row r="298" spans="1:16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</row>
    <row r="299" spans="1:16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</row>
    <row r="300" spans="1:16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</row>
    <row r="301" spans="1:16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</row>
    <row r="302" spans="1:16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</row>
    <row r="303" spans="1:16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</row>
    <row r="304" spans="1:16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</row>
    <row r="305" spans="1:16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</row>
    <row r="306" spans="1:16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</row>
    <row r="307" spans="1:16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</row>
    <row r="308" spans="1:16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</row>
    <row r="309" spans="1:16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</row>
    <row r="310" spans="1:16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</row>
    <row r="311" spans="1:16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</row>
    <row r="312" spans="1:16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</row>
    <row r="313" spans="1:16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</row>
    <row r="314" spans="1:16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</row>
    <row r="315" spans="1:16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</row>
    <row r="316" spans="1:16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</row>
    <row r="317" spans="1:16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</row>
    <row r="318" spans="1:16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</row>
    <row r="319" spans="1:16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</row>
    <row r="320" spans="1:16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</row>
    <row r="321" spans="1:16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</row>
    <row r="322" spans="1:16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</row>
    <row r="323" spans="1:16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</row>
    <row r="324" spans="1:16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</row>
    <row r="325" spans="1:16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</row>
    <row r="326" spans="1:16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</row>
    <row r="327" spans="1:16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</row>
    <row r="328" spans="1:16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</row>
    <row r="329" spans="1:16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</row>
    <row r="330" spans="1:16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</row>
    <row r="331" spans="1:16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</row>
    <row r="332" spans="1:16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</row>
    <row r="333" spans="1:16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</row>
    <row r="334" spans="1:16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</row>
    <row r="335" spans="1:16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</row>
    <row r="336" spans="1:16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</row>
    <row r="337" spans="1:16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</row>
    <row r="338" spans="1:16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</row>
    <row r="339" spans="1:16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</row>
    <row r="340" spans="1:16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</row>
    <row r="341" spans="1:16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</row>
    <row r="342" spans="1:16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</row>
    <row r="343" spans="1:16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</row>
    <row r="344" spans="1:16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</row>
    <row r="345" spans="1:16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</row>
    <row r="346" spans="1:16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</row>
    <row r="347" spans="1:16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</row>
    <row r="348" spans="1:16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</row>
    <row r="349" spans="1:16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</row>
    <row r="350" spans="1:16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</row>
    <row r="351" spans="1:16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</row>
    <row r="352" spans="1:16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</row>
    <row r="353" spans="1:16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</row>
    <row r="354" spans="1:16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</row>
    <row r="355" spans="1:16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</row>
    <row r="356" spans="1:16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</row>
    <row r="357" spans="1:16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</row>
    <row r="358" spans="1:16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</row>
    <row r="359" spans="1:16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</row>
    <row r="360" spans="1:16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</row>
    <row r="361" spans="1:16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16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</row>
    <row r="363" spans="1:16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</row>
    <row r="364" spans="1:16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</row>
    <row r="365" spans="1:16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</row>
    <row r="366" spans="1:16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</row>
    <row r="367" spans="1:16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</row>
    <row r="368" spans="1:16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</row>
    <row r="369" spans="1:16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</row>
    <row r="370" spans="1:16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</row>
    <row r="371" spans="1:16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</row>
    <row r="372" spans="1:16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</row>
    <row r="373" spans="1:16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</row>
    <row r="374" spans="1:16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</row>
    <row r="375" spans="1:16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</row>
    <row r="376" spans="1:16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</row>
    <row r="377" spans="1:16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</row>
    <row r="378" spans="1:16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</row>
    <row r="379" spans="1:16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</row>
    <row r="380" spans="1:16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</row>
    <row r="381" spans="1:16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</row>
    <row r="382" spans="1:16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</row>
    <row r="383" spans="1:16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</row>
    <row r="384" spans="1:16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</row>
    <row r="385" spans="1:16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</row>
    <row r="386" spans="1:16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</row>
    <row r="387" spans="1:16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spans="1:16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</row>
    <row r="389" spans="1:16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</row>
    <row r="390" spans="1:16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</row>
    <row r="391" spans="1:16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</row>
    <row r="392" spans="1:16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</row>
    <row r="393" spans="1:16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</row>
    <row r="394" spans="1:16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</row>
    <row r="395" spans="1:16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</row>
    <row r="396" spans="1:16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</row>
    <row r="397" spans="1:16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</row>
    <row r="398" spans="1:16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</row>
    <row r="399" spans="1:16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</row>
    <row r="400" spans="1:16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</row>
    <row r="401" spans="1:16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</row>
    <row r="402" spans="1:16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</row>
    <row r="403" spans="1:16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</row>
    <row r="404" spans="1:16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</row>
    <row r="405" spans="1:16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</row>
    <row r="406" spans="1:16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</row>
    <row r="407" spans="1:16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</row>
    <row r="408" spans="1:16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</row>
    <row r="409" spans="1:16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</row>
    <row r="410" spans="1:16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</row>
    <row r="411" spans="1:16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</row>
    <row r="412" spans="1:16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</row>
    <row r="413" spans="1:16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</row>
    <row r="414" spans="1:16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</row>
    <row r="415" spans="1:16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</row>
    <row r="416" spans="1:16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</row>
    <row r="417" spans="1:16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</row>
    <row r="418" spans="1:16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</row>
    <row r="419" spans="1:16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</row>
    <row r="420" spans="1:16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</row>
    <row r="421" spans="1:16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</row>
    <row r="422" spans="1:16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</row>
    <row r="423" spans="1:16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</row>
    <row r="424" spans="1:16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</row>
    <row r="425" spans="1:16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</row>
    <row r="426" spans="1:16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</row>
    <row r="427" spans="1:16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</row>
    <row r="428" spans="1:16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</row>
    <row r="429" spans="1:16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</row>
    <row r="430" spans="1:16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</row>
    <row r="431" spans="1:16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</row>
    <row r="432" spans="1:16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</row>
    <row r="433" spans="1:16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</row>
    <row r="434" spans="1:16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</row>
    <row r="435" spans="1:16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</row>
    <row r="436" spans="1:16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</row>
    <row r="437" spans="1:16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</row>
    <row r="438" spans="1:16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</row>
    <row r="439" spans="1:16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</row>
    <row r="440" spans="1:16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</row>
    <row r="441" spans="1:16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</row>
    <row r="442" spans="1:16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</row>
    <row r="443" spans="1:16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</row>
    <row r="444" spans="1:16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</row>
    <row r="445" spans="1:16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</row>
    <row r="446" spans="1:16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</row>
    <row r="447" spans="1:16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</row>
    <row r="448" spans="1:16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</row>
    <row r="449" spans="1:16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</row>
    <row r="450" spans="1:16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</row>
    <row r="451" spans="1:16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</row>
    <row r="452" spans="1:16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</row>
    <row r="453" spans="1:16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</row>
    <row r="454" spans="1:16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</row>
    <row r="455" spans="1:16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</row>
    <row r="456" spans="1:16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</row>
    <row r="457" spans="1:16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</row>
    <row r="458" spans="1:16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</row>
    <row r="459" spans="1:16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</row>
    <row r="460" spans="1:16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</row>
    <row r="461" spans="1:16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</row>
    <row r="462" spans="1:16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</row>
    <row r="463" spans="1:16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</row>
    <row r="464" spans="1:16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</row>
    <row r="465" spans="1:16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</row>
    <row r="466" spans="1:16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</row>
    <row r="467" spans="1:16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</row>
    <row r="468" spans="1:16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</row>
    <row r="469" spans="1:16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</row>
    <row r="470" spans="1:16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</row>
    <row r="471" spans="1:16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</row>
    <row r="472" spans="1:16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</row>
    <row r="473" spans="1:16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</row>
    <row r="474" spans="1:16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</row>
    <row r="475" spans="1:16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</row>
    <row r="476" spans="1:16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</row>
    <row r="477" spans="1:16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</row>
    <row r="478" spans="1:16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</row>
    <row r="479" spans="1:16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</row>
    <row r="480" spans="1:16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</row>
    <row r="481" spans="1:16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</row>
    <row r="482" spans="1:16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</row>
    <row r="483" spans="1:16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</row>
    <row r="484" spans="1:16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</row>
    <row r="485" spans="1:16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</row>
    <row r="486" spans="1:16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</row>
    <row r="487" spans="1:16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</row>
    <row r="488" spans="1:16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</row>
    <row r="489" spans="1:16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</row>
    <row r="490" spans="1:16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</row>
    <row r="491" spans="1:16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</row>
    <row r="492" spans="1:16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</row>
    <row r="493" spans="1:16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</row>
    <row r="494" spans="1:16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</row>
    <row r="495" spans="1:16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</row>
    <row r="496" spans="1:16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</row>
    <row r="497" spans="1:16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</row>
    <row r="498" spans="1:16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</row>
    <row r="499" spans="1:16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</row>
    <row r="500" spans="1:16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</row>
    <row r="501" spans="1:16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</row>
    <row r="502" spans="1:16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</row>
    <row r="503" spans="1:16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</row>
    <row r="504" spans="1:16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</row>
    <row r="505" spans="1:16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</row>
    <row r="506" spans="1:16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</row>
    <row r="507" spans="1:16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</row>
    <row r="508" spans="1:16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</row>
    <row r="509" spans="1:16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</row>
    <row r="510" spans="1:16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</row>
    <row r="511" spans="1:16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</row>
    <row r="512" spans="1:16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</row>
    <row r="513" spans="1:16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</row>
    <row r="514" spans="1:16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</row>
    <row r="515" spans="1:16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</row>
    <row r="516" spans="1:16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</row>
    <row r="517" spans="1:16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</row>
    <row r="518" spans="1:16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</row>
    <row r="519" spans="1:16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</row>
    <row r="520" spans="1:16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</row>
    <row r="521" spans="1:16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</row>
    <row r="522" spans="1:16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</row>
    <row r="523" spans="1:16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</row>
    <row r="524" spans="1:16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</row>
    <row r="525" spans="1:16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</row>
    <row r="526" spans="1:16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</row>
    <row r="527" spans="1:16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</row>
    <row r="528" spans="1:16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</row>
    <row r="529" spans="1:16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</row>
    <row r="530" spans="1:16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</row>
    <row r="531" spans="1:16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</row>
    <row r="532" spans="1:16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</row>
    <row r="533" spans="1:16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</row>
    <row r="534" spans="1:16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</row>
    <row r="535" spans="1:16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</row>
    <row r="536" spans="1:16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</row>
    <row r="537" spans="1:16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</row>
    <row r="538" spans="1:16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</row>
    <row r="539" spans="1:16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</row>
    <row r="540" spans="1:16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</row>
    <row r="541" spans="1:16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</row>
    <row r="542" spans="1:16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</row>
    <row r="543" spans="1:16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</row>
    <row r="544" spans="1:16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</row>
    <row r="545" spans="1:16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</row>
    <row r="546" spans="1:16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</row>
    <row r="547" spans="1:16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</row>
    <row r="548" spans="1:16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</row>
    <row r="549" spans="1:16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</row>
    <row r="550" spans="1:16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</row>
    <row r="551" spans="1:16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</row>
    <row r="552" spans="1:16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</row>
    <row r="553" spans="1:16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</row>
    <row r="554" spans="1:16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</row>
    <row r="555" spans="1:16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</row>
    <row r="556" spans="1:16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</row>
    <row r="557" spans="1:16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</row>
    <row r="558" spans="1:16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</row>
    <row r="559" spans="1:16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</row>
    <row r="560" spans="1:16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</row>
    <row r="561" spans="1:16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</row>
    <row r="562" spans="1:16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</row>
    <row r="563" spans="1:16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</row>
    <row r="564" spans="1:16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</row>
    <row r="565" spans="1:16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</row>
    <row r="566" spans="1:16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</row>
    <row r="567" spans="1:16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</row>
    <row r="568" spans="1:16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</row>
    <row r="569" spans="1:16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</row>
    <row r="570" spans="1:16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</row>
    <row r="571" spans="1:16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</row>
    <row r="572" spans="1:16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</row>
    <row r="573" spans="1:16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</row>
    <row r="574" spans="1:16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</row>
    <row r="575" spans="1:16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</row>
    <row r="576" spans="1:16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</row>
    <row r="577" spans="1:16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</row>
    <row r="578" spans="1:16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</row>
    <row r="579" spans="1:16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</row>
    <row r="580" spans="1:16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</row>
    <row r="581" spans="1:16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</row>
    <row r="582" spans="1:16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</row>
    <row r="583" spans="1:16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</row>
    <row r="584" spans="1:16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</row>
    <row r="585" spans="1:16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</row>
    <row r="586" spans="1:16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</row>
    <row r="587" spans="1:16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</row>
    <row r="588" spans="1:16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</row>
    <row r="589" spans="1:16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</row>
    <row r="590" spans="1:16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</row>
    <row r="591" spans="1:16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</row>
    <row r="592" spans="1:16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</row>
    <row r="593" spans="1:16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</row>
    <row r="594" spans="1:16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</row>
    <row r="595" spans="1:16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</row>
    <row r="596" spans="1:16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</row>
    <row r="597" spans="1:16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</row>
    <row r="598" spans="1:16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</row>
    <row r="599" spans="1:16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</row>
    <row r="600" spans="1:16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</row>
    <row r="601" spans="1:16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</row>
    <row r="602" spans="1:16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</row>
    <row r="603" spans="1:16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</row>
    <row r="604" spans="1:16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</row>
    <row r="605" spans="1:16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</row>
    <row r="606" spans="1:16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</row>
    <row r="607" spans="1:16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</row>
    <row r="608" spans="1:16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</row>
    <row r="609" spans="1:16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</row>
    <row r="610" spans="1:16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</row>
    <row r="611" spans="1:16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</row>
    <row r="612" spans="1:16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</row>
    <row r="613" spans="1:16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</row>
    <row r="614" spans="1:16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</row>
    <row r="615" spans="1:16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</row>
    <row r="616" spans="1:16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</row>
    <row r="617" spans="1:16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</row>
    <row r="618" spans="1:16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</row>
    <row r="619" spans="1:16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</row>
    <row r="620" spans="1:16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</row>
    <row r="621" spans="1:16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</row>
    <row r="622" spans="1:16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</row>
    <row r="623" spans="1:16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</row>
    <row r="624" spans="1:16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</row>
    <row r="625" spans="1:16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</row>
    <row r="626" spans="1:16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</row>
    <row r="627" spans="1:16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</row>
    <row r="628" spans="1:16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</row>
    <row r="629" spans="1:16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</row>
    <row r="630" spans="1:16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</row>
    <row r="631" spans="1:16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</row>
    <row r="632" spans="1:16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</row>
    <row r="633" spans="1:16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</row>
    <row r="634" spans="1:16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</row>
    <row r="635" spans="1:16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</row>
    <row r="636" spans="1:16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</row>
    <row r="637" spans="1:16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</row>
    <row r="638" spans="1:16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</row>
    <row r="639" spans="1:16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</row>
    <row r="640" spans="1:16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</row>
    <row r="641" spans="1:16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</row>
    <row r="642" spans="1:16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</row>
    <row r="643" spans="1:16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</row>
    <row r="644" spans="1:16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</row>
    <row r="645" spans="1:16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</row>
    <row r="646" spans="1:16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</row>
    <row r="647" spans="1:16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</row>
    <row r="648" spans="1:16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</row>
    <row r="649" spans="1:16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</row>
    <row r="650" spans="1:16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</row>
    <row r="651" spans="1:16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</row>
    <row r="652" spans="1:16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</row>
    <row r="653" spans="1:16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</row>
    <row r="654" spans="1:16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</row>
    <row r="655" spans="1:16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</row>
    <row r="656" spans="1:16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</row>
    <row r="657" spans="1:16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</row>
    <row r="658" spans="1:16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</row>
    <row r="659" spans="1:16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</row>
    <row r="660" spans="1:16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</row>
    <row r="661" spans="1:16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</row>
    <row r="662" spans="1:16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</row>
    <row r="663" spans="1:16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</row>
    <row r="664" spans="1:16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</row>
    <row r="665" spans="1:16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</row>
    <row r="666" spans="1:16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</row>
    <row r="667" spans="1:16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</row>
    <row r="668" spans="1:16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</row>
    <row r="669" spans="1:16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</row>
    <row r="670" spans="1:16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</row>
    <row r="671" spans="1:16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</row>
    <row r="672" spans="1:16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</row>
    <row r="673" spans="1:16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</row>
    <row r="674" spans="1:16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</row>
    <row r="675" spans="1:16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</row>
    <row r="676" spans="1:16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</row>
    <row r="677" spans="1:16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</row>
    <row r="678" spans="1:16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</row>
    <row r="679" spans="1:16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</row>
    <row r="680" spans="1:16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</row>
    <row r="681" spans="1:16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</row>
    <row r="682" spans="1:16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</row>
    <row r="683" spans="1:16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</row>
    <row r="684" spans="1:16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</row>
    <row r="685" spans="1:16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</row>
    <row r="686" spans="1:16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</row>
    <row r="687" spans="1:16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</row>
    <row r="688" spans="1:16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</row>
    <row r="689" spans="1:16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</row>
    <row r="690" spans="1:16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</row>
    <row r="691" spans="1:16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</row>
    <row r="692" spans="1:16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</row>
    <row r="693" spans="1:16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</row>
    <row r="694" spans="1:16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</row>
    <row r="695" spans="1:16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</row>
    <row r="696" spans="1:16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</row>
    <row r="697" spans="1:16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</row>
    <row r="698" spans="1:16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</row>
    <row r="699" spans="1:16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</row>
    <row r="700" spans="1:16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</row>
    <row r="701" spans="1:16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</row>
    <row r="702" spans="1:16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</row>
    <row r="703" spans="1:16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</row>
    <row r="704" spans="1:16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</row>
    <row r="705" spans="1:16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</row>
    <row r="706" spans="1:16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</row>
    <row r="707" spans="1:16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</row>
    <row r="708" spans="1:16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</row>
    <row r="709" spans="1:16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</row>
    <row r="710" spans="1:16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</row>
    <row r="711" spans="1:16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</row>
    <row r="712" spans="1:16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</row>
    <row r="713" spans="1:16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</row>
    <row r="714" spans="1:16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</row>
    <row r="715" spans="1:16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</row>
    <row r="716" spans="1:16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</row>
    <row r="717" spans="1:16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</row>
    <row r="718" spans="1:16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</row>
    <row r="719" spans="1:16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</row>
    <row r="720" spans="1:16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</row>
    <row r="721" spans="1:16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</row>
    <row r="722" spans="1:16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</row>
    <row r="723" spans="1:16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</row>
    <row r="724" spans="1:16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</row>
    <row r="725" spans="1:16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</row>
    <row r="726" spans="1:16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</row>
    <row r="727" spans="1:16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</row>
    <row r="728" spans="1:16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</row>
    <row r="729" spans="1:16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</row>
    <row r="730" spans="1:16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</row>
    <row r="731" spans="1:16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</row>
    <row r="732" spans="1:16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</row>
    <row r="733" spans="1:16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</row>
    <row r="734" spans="1:16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</row>
    <row r="735" spans="1:16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</row>
    <row r="736" spans="1:16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</row>
    <row r="737" spans="1:16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</row>
    <row r="738" spans="1:16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</row>
    <row r="739" spans="1:16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</row>
    <row r="740" spans="1:16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</row>
    <row r="741" spans="1:16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</row>
    <row r="742" spans="1:16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</row>
    <row r="743" spans="1:16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</row>
    <row r="744" spans="1:16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</row>
    <row r="745" spans="1:16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</row>
    <row r="746" spans="1:16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</row>
    <row r="747" spans="1:16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</row>
    <row r="748" spans="1:16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</row>
    <row r="749" spans="1:16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</row>
    <row r="750" spans="1:16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</row>
    <row r="751" spans="1:16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</row>
    <row r="752" spans="1:16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</row>
    <row r="753" spans="1:16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</row>
    <row r="754" spans="1:16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</row>
    <row r="755" spans="1:16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</row>
    <row r="756" spans="1:16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</row>
    <row r="757" spans="1:16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</row>
    <row r="758" spans="1:16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</row>
    <row r="759" spans="1:16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</row>
    <row r="760" spans="1:16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</row>
    <row r="761" spans="1:16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</row>
    <row r="762" spans="1:16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</row>
    <row r="763" spans="1:16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</row>
    <row r="764" spans="1:16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</row>
    <row r="765" spans="1:16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</row>
    <row r="766" spans="1:16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</row>
    <row r="767" spans="1:16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</row>
    <row r="768" spans="1:16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</row>
    <row r="769" spans="1:16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</row>
    <row r="770" spans="1:16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</row>
    <row r="771" spans="1:16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</row>
    <row r="772" spans="1:16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</row>
    <row r="773" spans="1:16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</row>
    <row r="774" spans="1:16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</row>
    <row r="775" spans="1:16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</row>
    <row r="776" spans="1:16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</row>
    <row r="777" spans="1:16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</row>
    <row r="778" spans="1:16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</row>
    <row r="779" spans="1:16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</row>
    <row r="780" spans="1:16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</row>
    <row r="781" spans="1:16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</row>
    <row r="782" spans="1:16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</row>
    <row r="783" spans="1:16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</row>
    <row r="784" spans="1:16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</row>
    <row r="785" spans="1:16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</row>
    <row r="786" spans="1:16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</row>
    <row r="787" spans="1:16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</row>
    <row r="788" spans="1:16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</row>
    <row r="789" spans="1:16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</row>
    <row r="790" spans="1:16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</row>
    <row r="791" spans="1:16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</row>
    <row r="792" spans="1:16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</row>
    <row r="793" spans="1:16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</row>
    <row r="794" spans="1:16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</row>
    <row r="795" spans="1:16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</row>
    <row r="796" spans="1:16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</row>
    <row r="797" spans="1:16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</row>
    <row r="798" spans="1:16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</row>
    <row r="799" spans="1:16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</row>
    <row r="800" spans="1:16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</row>
    <row r="801" spans="1:16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</row>
    <row r="802" spans="1:16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</row>
    <row r="803" spans="1:16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</row>
    <row r="804" spans="1:16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</row>
    <row r="805" spans="1:16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</row>
    <row r="806" spans="1:16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</row>
    <row r="807" spans="1:16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</row>
    <row r="808" spans="1:16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</row>
    <row r="809" spans="1:16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</row>
    <row r="810" spans="1:16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</row>
    <row r="811" spans="1:16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</row>
    <row r="812" spans="1:16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</row>
    <row r="813" spans="1:16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</row>
    <row r="814" spans="1:16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</row>
    <row r="815" spans="1:16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</row>
    <row r="816" spans="1:16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</row>
    <row r="817" spans="1:16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</row>
    <row r="818" spans="1:16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</row>
    <row r="819" spans="1:16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</row>
    <row r="820" spans="1:16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</row>
    <row r="821" spans="1:16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</row>
    <row r="822" spans="1:16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</row>
    <row r="823" spans="1:16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</row>
    <row r="824" spans="1:16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</row>
    <row r="825" spans="1:16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</row>
    <row r="826" spans="1:16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</row>
    <row r="827" spans="1:16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</row>
    <row r="828" spans="1:16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</row>
    <row r="829" spans="1:16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</row>
    <row r="830" spans="1:16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</row>
    <row r="831" spans="1:16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</row>
    <row r="832" spans="1:16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</row>
    <row r="833" spans="1:16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</row>
    <row r="834" spans="1:16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</row>
    <row r="835" spans="1:16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</row>
    <row r="836" spans="1:16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</row>
    <row r="837" spans="1:16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</row>
    <row r="838" spans="1:16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</row>
    <row r="839" spans="1:16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</row>
    <row r="840" spans="1:16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</row>
    <row r="841" spans="1:16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</row>
    <row r="842" spans="1:16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</row>
    <row r="843" spans="1:16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</row>
    <row r="844" spans="1:16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</row>
    <row r="845" spans="1:16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</row>
    <row r="846" spans="1:16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</row>
    <row r="847" spans="1:16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</row>
    <row r="848" spans="1:16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</row>
    <row r="849" spans="1:16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</row>
    <row r="850" spans="1:16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</row>
    <row r="851" spans="1:16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</row>
    <row r="852" spans="1:16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</row>
    <row r="853" spans="1:16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</row>
    <row r="854" spans="1:16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</row>
    <row r="855" spans="1:16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</row>
    <row r="856" spans="1:16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</row>
    <row r="857" spans="1:16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</row>
    <row r="858" spans="1:16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</row>
    <row r="859" spans="1:16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</row>
    <row r="860" spans="1:16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</row>
    <row r="861" spans="1:16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</row>
    <row r="862" spans="1:16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</row>
    <row r="863" spans="1:16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</row>
    <row r="864" spans="1:16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</row>
    <row r="865" spans="1:16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</row>
    <row r="866" spans="1:16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</row>
    <row r="867" spans="1:16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</row>
    <row r="868" spans="1:16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</row>
    <row r="869" spans="1:16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</row>
    <row r="870" spans="1:16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</row>
    <row r="871" spans="1:16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</row>
    <row r="872" spans="1:16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</row>
    <row r="873" spans="1:16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</row>
    <row r="874" spans="1:16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</row>
    <row r="875" spans="1:16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</row>
    <row r="876" spans="1:16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</row>
    <row r="877" spans="1:16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</row>
    <row r="878" spans="1:16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</row>
    <row r="879" spans="1:16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</row>
    <row r="880" spans="1:16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</row>
    <row r="881" spans="1:16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</row>
    <row r="882" spans="1:16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</row>
    <row r="883" spans="1:16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</row>
    <row r="884" spans="1:16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</row>
    <row r="885" spans="1:16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</row>
    <row r="886" spans="1:16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</row>
    <row r="887" spans="1:16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</row>
    <row r="888" spans="1:16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</row>
    <row r="889" spans="1:16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</row>
    <row r="890" spans="1:16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</row>
    <row r="891" spans="1:16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</row>
    <row r="892" spans="1:16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</row>
    <row r="893" spans="1:16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</row>
    <row r="894" spans="1:16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</row>
    <row r="895" spans="1:16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</row>
    <row r="896" spans="1:16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</row>
    <row r="897" spans="1:16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</row>
    <row r="898" spans="1:16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</row>
    <row r="899" spans="1:16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</row>
    <row r="900" spans="1:16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</row>
    <row r="901" spans="1:16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</row>
    <row r="902" spans="1:16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</row>
    <row r="903" spans="1:16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</row>
    <row r="904" spans="1:16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</row>
    <row r="905" spans="1:16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</row>
    <row r="906" spans="1:16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</row>
    <row r="907" spans="1:16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</row>
    <row r="908" spans="1:16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</row>
    <row r="909" spans="1:16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</row>
    <row r="910" spans="1:16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</row>
    <row r="911" spans="1:16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</row>
    <row r="912" spans="1:16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</row>
    <row r="913" spans="1:16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</row>
    <row r="914" spans="1:16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</row>
    <row r="915" spans="1:16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</row>
    <row r="916" spans="1:16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</row>
    <row r="917" spans="1:16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</row>
    <row r="918" spans="1:16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</row>
    <row r="919" spans="1:16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</row>
    <row r="920" spans="1:16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</row>
    <row r="921" spans="1:16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</row>
    <row r="922" spans="1:16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</row>
    <row r="923" spans="1:16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</row>
    <row r="924" spans="1:16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</row>
    <row r="925" spans="1:16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</row>
    <row r="926" spans="1:16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</row>
    <row r="927" spans="1:16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</row>
    <row r="928" spans="1:16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</row>
    <row r="929" spans="1:16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</row>
    <row r="930" spans="1:16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</row>
    <row r="931" spans="1:16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</row>
    <row r="932" spans="1:16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</row>
    <row r="933" spans="1:16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</row>
    <row r="934" spans="1:16" x14ac:dyDescent="0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</row>
    <row r="935" spans="1:16" x14ac:dyDescent="0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</row>
    <row r="936" spans="1:16" x14ac:dyDescent="0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</row>
    <row r="937" spans="1:16" x14ac:dyDescent="0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</row>
    <row r="938" spans="1:16" x14ac:dyDescent="0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</row>
    <row r="939" spans="1:16" x14ac:dyDescent="0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</row>
    <row r="940" spans="1:16" x14ac:dyDescent="0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</row>
    <row r="941" spans="1:16" x14ac:dyDescent="0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</row>
    <row r="942" spans="1:16" x14ac:dyDescent="0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</row>
    <row r="943" spans="1:16" x14ac:dyDescent="0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</row>
    <row r="944" spans="1:16" x14ac:dyDescent="0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</row>
    <row r="945" spans="1:16" x14ac:dyDescent="0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</row>
    <row r="946" spans="1:16" x14ac:dyDescent="0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</row>
    <row r="947" spans="1:16" x14ac:dyDescent="0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</row>
    <row r="948" spans="1:16" x14ac:dyDescent="0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</row>
    <row r="949" spans="1:16" x14ac:dyDescent="0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</row>
    <row r="950" spans="1:16" x14ac:dyDescent="0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</row>
    <row r="951" spans="1:16" x14ac:dyDescent="0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</row>
    <row r="952" spans="1:16" x14ac:dyDescent="0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</row>
    <row r="953" spans="1:16" x14ac:dyDescent="0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</row>
    <row r="954" spans="1:16" x14ac:dyDescent="0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</row>
    <row r="955" spans="1:16" x14ac:dyDescent="0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</row>
    <row r="956" spans="1:16" x14ac:dyDescent="0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</row>
    <row r="957" spans="1:16" x14ac:dyDescent="0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</row>
    <row r="958" spans="1:16" x14ac:dyDescent="0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</row>
    <row r="959" spans="1:16" x14ac:dyDescent="0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</row>
    <row r="960" spans="1:16" x14ac:dyDescent="0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</row>
    <row r="961" spans="1:16" x14ac:dyDescent="0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</row>
    <row r="962" spans="1:16" x14ac:dyDescent="0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</row>
    <row r="963" spans="1:16" x14ac:dyDescent="0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</row>
    <row r="964" spans="1:16" x14ac:dyDescent="0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</row>
    <row r="965" spans="1:16" x14ac:dyDescent="0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</row>
    <row r="966" spans="1:16" x14ac:dyDescent="0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</row>
    <row r="967" spans="1:16" x14ac:dyDescent="0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</row>
    <row r="968" spans="1:16" x14ac:dyDescent="0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</row>
    <row r="969" spans="1:16" x14ac:dyDescent="0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</row>
    <row r="970" spans="1:16" x14ac:dyDescent="0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</row>
    <row r="971" spans="1:16" x14ac:dyDescent="0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</row>
    <row r="972" spans="1:16" x14ac:dyDescent="0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</row>
    <row r="973" spans="1:16" x14ac:dyDescent="0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</row>
    <row r="974" spans="1:16" x14ac:dyDescent="0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</row>
    <row r="975" spans="1:16" x14ac:dyDescent="0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</row>
    <row r="976" spans="1:16" x14ac:dyDescent="0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</row>
    <row r="977" spans="1:16" x14ac:dyDescent="0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</row>
    <row r="978" spans="1:16" x14ac:dyDescent="0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</row>
    <row r="979" spans="1:16" x14ac:dyDescent="0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</row>
    <row r="980" spans="1:16" x14ac:dyDescent="0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</row>
    <row r="981" spans="1:16" x14ac:dyDescent="0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</row>
    <row r="982" spans="1:16" x14ac:dyDescent="0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</row>
    <row r="983" spans="1:16" x14ac:dyDescent="0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</row>
    <row r="984" spans="1:16" x14ac:dyDescent="0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</row>
    <row r="985" spans="1:16" x14ac:dyDescent="0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</row>
    <row r="986" spans="1:16" x14ac:dyDescent="0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</row>
    <row r="987" spans="1:16" x14ac:dyDescent="0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</row>
    <row r="988" spans="1:16" x14ac:dyDescent="0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</row>
    <row r="989" spans="1:16" x14ac:dyDescent="0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</row>
    <row r="990" spans="1:16" x14ac:dyDescent="0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</row>
    <row r="991" spans="1:16" x14ac:dyDescent="0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</row>
    <row r="992" spans="1:16" x14ac:dyDescent="0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</row>
    <row r="993" spans="1:16" x14ac:dyDescent="0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</row>
    <row r="994" spans="1:16" x14ac:dyDescent="0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</row>
    <row r="995" spans="1:16" x14ac:dyDescent="0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</row>
    <row r="996" spans="1:16" x14ac:dyDescent="0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</row>
    <row r="997" spans="1:16" x14ac:dyDescent="0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</row>
    <row r="998" spans="1:16" x14ac:dyDescent="0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</row>
    <row r="999" spans="1:16" x14ac:dyDescent="0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</row>
    <row r="1000" spans="1:16" x14ac:dyDescent="0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</row>
    <row r="1001" spans="1:16" x14ac:dyDescent="0.2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</row>
    <row r="1002" spans="1:16" x14ac:dyDescent="0.2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</row>
    <row r="1003" spans="1:16" x14ac:dyDescent="0.25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</row>
    <row r="1004" spans="1:16" x14ac:dyDescent="0.25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</row>
    <row r="1005" spans="1:16" x14ac:dyDescent="0.25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</row>
    <row r="1006" spans="1:16" x14ac:dyDescent="0.25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</row>
    <row r="1007" spans="1:16" x14ac:dyDescent="0.25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</row>
    <row r="1008" spans="1:16" x14ac:dyDescent="0.25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</row>
    <row r="1009" spans="1:16" x14ac:dyDescent="0.25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</row>
    <row r="1010" spans="1:16" x14ac:dyDescent="0.25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</row>
    <row r="1011" spans="1:16" x14ac:dyDescent="0.25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</row>
    <row r="1012" spans="1:16" x14ac:dyDescent="0.25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</row>
    <row r="1013" spans="1:16" x14ac:dyDescent="0.25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</row>
    <row r="1014" spans="1:16" x14ac:dyDescent="0.25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</row>
    <row r="1015" spans="1:16" x14ac:dyDescent="0.25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</row>
    <row r="1016" spans="1:16" x14ac:dyDescent="0.25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</row>
    <row r="1017" spans="1:16" x14ac:dyDescent="0.25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</row>
    <row r="1018" spans="1:16" x14ac:dyDescent="0.25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</row>
    <row r="1019" spans="1:16" x14ac:dyDescent="0.25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</row>
    <row r="1020" spans="1:16" x14ac:dyDescent="0.25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</row>
    <row r="1021" spans="1:16" x14ac:dyDescent="0.25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</row>
    <row r="1022" spans="1:16" x14ac:dyDescent="0.25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</row>
    <row r="1023" spans="1:16" x14ac:dyDescent="0.25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</row>
    <row r="1024" spans="1:16" x14ac:dyDescent="0.25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</row>
    <row r="1025" spans="1:16" x14ac:dyDescent="0.25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</row>
    <row r="1026" spans="1:16" x14ac:dyDescent="0.25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</row>
    <row r="1027" spans="1:16" x14ac:dyDescent="0.25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</row>
    <row r="1028" spans="1:16" x14ac:dyDescent="0.25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</row>
    <row r="1029" spans="1:16" x14ac:dyDescent="0.25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</row>
    <row r="1030" spans="1:16" x14ac:dyDescent="0.25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</row>
    <row r="1031" spans="1:16" x14ac:dyDescent="0.25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</row>
    <row r="1032" spans="1:16" x14ac:dyDescent="0.25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</row>
    <row r="1033" spans="1:16" x14ac:dyDescent="0.25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</row>
    <row r="1034" spans="1:16" x14ac:dyDescent="0.25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</row>
    <row r="1035" spans="1:16" x14ac:dyDescent="0.25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</row>
    <row r="1036" spans="1:16" x14ac:dyDescent="0.25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</row>
    <row r="1037" spans="1:16" x14ac:dyDescent="0.25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</row>
    <row r="1038" spans="1:16" x14ac:dyDescent="0.25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</row>
    <row r="1039" spans="1:16" x14ac:dyDescent="0.25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</row>
    <row r="1040" spans="1:16" x14ac:dyDescent="0.25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</row>
    <row r="1041" spans="1:16" x14ac:dyDescent="0.25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</row>
    <row r="1042" spans="1:16" x14ac:dyDescent="0.25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</row>
    <row r="1043" spans="1:16" x14ac:dyDescent="0.25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</row>
    <row r="1044" spans="1:16" x14ac:dyDescent="0.25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</row>
    <row r="1045" spans="1:16" x14ac:dyDescent="0.25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</row>
    <row r="1046" spans="1:16" x14ac:dyDescent="0.25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</row>
    <row r="1047" spans="1:16" x14ac:dyDescent="0.25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</row>
    <row r="1048" spans="1:16" x14ac:dyDescent="0.25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</row>
    <row r="1049" spans="1:16" x14ac:dyDescent="0.25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</row>
    <row r="1050" spans="1:16" x14ac:dyDescent="0.25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</row>
    <row r="1051" spans="1:16" x14ac:dyDescent="0.25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</row>
    <row r="1052" spans="1:16" x14ac:dyDescent="0.25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</row>
    <row r="1053" spans="1:16" x14ac:dyDescent="0.25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</row>
    <row r="1054" spans="1:16" x14ac:dyDescent="0.25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</row>
    <row r="1055" spans="1:16" x14ac:dyDescent="0.25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</row>
    <row r="1056" spans="1:16" x14ac:dyDescent="0.25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</row>
    <row r="1057" spans="1:16" x14ac:dyDescent="0.25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</row>
    <row r="1058" spans="1:16" x14ac:dyDescent="0.25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</row>
    <row r="1059" spans="1:16" x14ac:dyDescent="0.25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</row>
    <row r="1060" spans="1:16" x14ac:dyDescent="0.25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</row>
    <row r="1061" spans="1:16" x14ac:dyDescent="0.25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</row>
    <row r="1062" spans="1:16" x14ac:dyDescent="0.25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</row>
    <row r="1063" spans="1:16" x14ac:dyDescent="0.25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</row>
    <row r="1064" spans="1:16" x14ac:dyDescent="0.25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</row>
    <row r="1065" spans="1:16" x14ac:dyDescent="0.25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</row>
    <row r="1066" spans="1:16" x14ac:dyDescent="0.25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</row>
    <row r="1067" spans="1:16" x14ac:dyDescent="0.25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</row>
    <row r="1068" spans="1:16" x14ac:dyDescent="0.25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</row>
    <row r="1069" spans="1:16" x14ac:dyDescent="0.25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</row>
    <row r="1070" spans="1:16" x14ac:dyDescent="0.25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</row>
    <row r="1071" spans="1:16" x14ac:dyDescent="0.25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</row>
    <row r="1072" spans="1:16" x14ac:dyDescent="0.25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</row>
    <row r="1073" spans="1:16" x14ac:dyDescent="0.25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</row>
    <row r="1074" spans="1:16" x14ac:dyDescent="0.25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</row>
    <row r="1075" spans="1:16" x14ac:dyDescent="0.25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</row>
    <row r="1076" spans="1:16" x14ac:dyDescent="0.25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</row>
    <row r="1077" spans="1:16" x14ac:dyDescent="0.25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</row>
    <row r="1078" spans="1:16" x14ac:dyDescent="0.25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</row>
    <row r="1079" spans="1:16" x14ac:dyDescent="0.25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</row>
    <row r="1080" spans="1:16" x14ac:dyDescent="0.25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</row>
    <row r="1081" spans="1:16" x14ac:dyDescent="0.25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</row>
    <row r="1082" spans="1:16" x14ac:dyDescent="0.25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</row>
    <row r="1083" spans="1:16" x14ac:dyDescent="0.25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</row>
    <row r="1084" spans="1:16" x14ac:dyDescent="0.25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</row>
    <row r="1085" spans="1:16" x14ac:dyDescent="0.25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</row>
    <row r="1086" spans="1:16" x14ac:dyDescent="0.25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</row>
    <row r="1087" spans="1:16" x14ac:dyDescent="0.25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</row>
    <row r="1088" spans="1:16" x14ac:dyDescent="0.25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</row>
    <row r="1089" spans="1:16" x14ac:dyDescent="0.25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</row>
    <row r="1090" spans="1:16" x14ac:dyDescent="0.25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</row>
    <row r="1091" spans="1:16" x14ac:dyDescent="0.25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</row>
    <row r="1092" spans="1:16" x14ac:dyDescent="0.25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</row>
    <row r="1093" spans="1:16" x14ac:dyDescent="0.25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</row>
    <row r="1094" spans="1:16" x14ac:dyDescent="0.25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</row>
    <row r="1095" spans="1:16" x14ac:dyDescent="0.25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</row>
    <row r="1096" spans="1:16" x14ac:dyDescent="0.25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</row>
    <row r="1097" spans="1:16" x14ac:dyDescent="0.25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</row>
    <row r="1098" spans="1:16" x14ac:dyDescent="0.25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</row>
    <row r="1099" spans="1:16" x14ac:dyDescent="0.25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</row>
    <row r="1100" spans="1:16" x14ac:dyDescent="0.25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</row>
    <row r="1101" spans="1:16" x14ac:dyDescent="0.25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</row>
    <row r="1102" spans="1:16" x14ac:dyDescent="0.25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</row>
    <row r="1103" spans="1:16" x14ac:dyDescent="0.25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</row>
    <row r="1104" spans="1:16" x14ac:dyDescent="0.25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</row>
    <row r="1105" spans="1:16" x14ac:dyDescent="0.25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</row>
    <row r="1106" spans="1:16" x14ac:dyDescent="0.25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</row>
    <row r="1107" spans="1:16" x14ac:dyDescent="0.25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</row>
    <row r="1108" spans="1:16" x14ac:dyDescent="0.25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</row>
    <row r="1109" spans="1:16" x14ac:dyDescent="0.25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</row>
    <row r="1110" spans="1:16" x14ac:dyDescent="0.25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</row>
    <row r="1111" spans="1:16" x14ac:dyDescent="0.25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</row>
    <row r="1112" spans="1:16" x14ac:dyDescent="0.25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</row>
    <row r="1113" spans="1:16" x14ac:dyDescent="0.25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</row>
    <row r="1114" spans="1:16" x14ac:dyDescent="0.25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</row>
    <row r="1115" spans="1:16" x14ac:dyDescent="0.25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</row>
    <row r="1116" spans="1:16" x14ac:dyDescent="0.25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</row>
    <row r="1117" spans="1:16" x14ac:dyDescent="0.25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</row>
    <row r="1118" spans="1:16" x14ac:dyDescent="0.25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</row>
    <row r="1119" spans="1:16" x14ac:dyDescent="0.25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</row>
    <row r="1120" spans="1:16" x14ac:dyDescent="0.25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</row>
    <row r="1121" spans="1:16" x14ac:dyDescent="0.25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</row>
    <row r="1122" spans="1:16" x14ac:dyDescent="0.25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</row>
    <row r="1123" spans="1:16" x14ac:dyDescent="0.25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</row>
    <row r="1124" spans="1:16" x14ac:dyDescent="0.25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</row>
    <row r="1125" spans="1:16" x14ac:dyDescent="0.25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</row>
    <row r="1126" spans="1:16" x14ac:dyDescent="0.25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</row>
    <row r="1127" spans="1:16" x14ac:dyDescent="0.25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</row>
    <row r="1128" spans="1:16" x14ac:dyDescent="0.25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</row>
    <row r="1129" spans="1:16" x14ac:dyDescent="0.25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</row>
    <row r="1130" spans="1:16" x14ac:dyDescent="0.25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</row>
    <row r="1131" spans="1:16" x14ac:dyDescent="0.25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</row>
    <row r="1132" spans="1:16" x14ac:dyDescent="0.25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</row>
    <row r="1133" spans="1:16" x14ac:dyDescent="0.25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</row>
    <row r="1134" spans="1:16" x14ac:dyDescent="0.25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</row>
    <row r="1135" spans="1:16" x14ac:dyDescent="0.25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</row>
    <row r="1136" spans="1:16" x14ac:dyDescent="0.25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</row>
    <row r="1137" spans="1:16" x14ac:dyDescent="0.25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</row>
    <row r="1138" spans="1:16" x14ac:dyDescent="0.25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</row>
    <row r="1139" spans="1:16" x14ac:dyDescent="0.25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</row>
    <row r="1140" spans="1:16" x14ac:dyDescent="0.25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</row>
    <row r="1141" spans="1:16" x14ac:dyDescent="0.25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</row>
    <row r="1142" spans="1:16" x14ac:dyDescent="0.25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</row>
    <row r="1143" spans="1:16" x14ac:dyDescent="0.25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</row>
    <row r="1144" spans="1:16" x14ac:dyDescent="0.25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</row>
    <row r="1145" spans="1:16" x14ac:dyDescent="0.25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</row>
    <row r="1146" spans="1:16" x14ac:dyDescent="0.25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</row>
    <row r="1147" spans="1:16" x14ac:dyDescent="0.25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</row>
    <row r="1148" spans="1:16" x14ac:dyDescent="0.25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</row>
    <row r="1149" spans="1:16" x14ac:dyDescent="0.25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</row>
    <row r="1150" spans="1:16" x14ac:dyDescent="0.25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</row>
    <row r="1151" spans="1:16" x14ac:dyDescent="0.25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</row>
    <row r="1152" spans="1:16" x14ac:dyDescent="0.25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</row>
    <row r="1153" spans="1:16" x14ac:dyDescent="0.25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</row>
    <row r="1154" spans="1:16" x14ac:dyDescent="0.25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</row>
    <row r="1155" spans="1:16" x14ac:dyDescent="0.25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</row>
    <row r="1156" spans="1:16" x14ac:dyDescent="0.25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</row>
    <row r="1157" spans="1:16" x14ac:dyDescent="0.25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</row>
    <row r="1158" spans="1:16" x14ac:dyDescent="0.25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</row>
    <row r="1159" spans="1:16" x14ac:dyDescent="0.25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</row>
    <row r="1160" spans="1:16" x14ac:dyDescent="0.25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</row>
    <row r="1161" spans="1:16" x14ac:dyDescent="0.25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</row>
    <row r="1162" spans="1:16" x14ac:dyDescent="0.25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</row>
    <row r="1163" spans="1:16" x14ac:dyDescent="0.25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</row>
    <row r="1164" spans="1:16" x14ac:dyDescent="0.25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</row>
    <row r="1165" spans="1:16" x14ac:dyDescent="0.25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</row>
    <row r="1166" spans="1:16" x14ac:dyDescent="0.25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</row>
    <row r="1167" spans="1:16" x14ac:dyDescent="0.25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</row>
    <row r="1168" spans="1:16" x14ac:dyDescent="0.25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</row>
    <row r="1169" spans="1:16" x14ac:dyDescent="0.25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</row>
    <row r="1170" spans="1:16" x14ac:dyDescent="0.25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</row>
    <row r="1171" spans="1:16" x14ac:dyDescent="0.25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</row>
    <row r="1172" spans="1:16" x14ac:dyDescent="0.25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</row>
    <row r="1173" spans="1:16" x14ac:dyDescent="0.25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</row>
    <row r="1174" spans="1:16" x14ac:dyDescent="0.25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</row>
    <row r="1175" spans="1:16" x14ac:dyDescent="0.25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</row>
    <row r="1176" spans="1:16" x14ac:dyDescent="0.25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</row>
    <row r="1177" spans="1:16" x14ac:dyDescent="0.25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</row>
    <row r="1178" spans="1:16" x14ac:dyDescent="0.25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</row>
    <row r="1179" spans="1:16" x14ac:dyDescent="0.25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</row>
    <row r="1180" spans="1:16" x14ac:dyDescent="0.25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</row>
    <row r="1181" spans="1:16" x14ac:dyDescent="0.25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</row>
    <row r="1182" spans="1:16" x14ac:dyDescent="0.25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</row>
    <row r="1183" spans="1:16" x14ac:dyDescent="0.25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</row>
    <row r="1184" spans="1:16" x14ac:dyDescent="0.25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</row>
    <row r="1185" spans="1:16" x14ac:dyDescent="0.25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</row>
    <row r="1186" spans="1:16" x14ac:dyDescent="0.25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</row>
    <row r="1187" spans="1:16" x14ac:dyDescent="0.25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</row>
    <row r="1188" spans="1:16" x14ac:dyDescent="0.25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</row>
    <row r="1189" spans="1:16" x14ac:dyDescent="0.25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</row>
    <row r="1190" spans="1:16" x14ac:dyDescent="0.25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</row>
    <row r="1191" spans="1:16" x14ac:dyDescent="0.25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</row>
    <row r="1192" spans="1:16" x14ac:dyDescent="0.25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</row>
    <row r="1193" spans="1:16" x14ac:dyDescent="0.25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</row>
    <row r="1194" spans="1:16" x14ac:dyDescent="0.25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</row>
    <row r="1195" spans="1:16" x14ac:dyDescent="0.25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</row>
    <row r="1196" spans="1:16" x14ac:dyDescent="0.25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</row>
    <row r="1197" spans="1:16" x14ac:dyDescent="0.25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</row>
    <row r="1198" spans="1:16" x14ac:dyDescent="0.25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</row>
    <row r="1199" spans="1:16" x14ac:dyDescent="0.25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</row>
    <row r="1200" spans="1:16" x14ac:dyDescent="0.25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</row>
    <row r="1201" spans="1:16" x14ac:dyDescent="0.25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</row>
    <row r="1202" spans="1:16" x14ac:dyDescent="0.25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</row>
    <row r="1203" spans="1:16" x14ac:dyDescent="0.25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</row>
    <row r="1204" spans="1:16" x14ac:dyDescent="0.25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</row>
    <row r="1205" spans="1:16" x14ac:dyDescent="0.25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</row>
    <row r="1206" spans="1:16" x14ac:dyDescent="0.25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</row>
    <row r="1207" spans="1:16" x14ac:dyDescent="0.25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</row>
    <row r="1208" spans="1:16" x14ac:dyDescent="0.25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</row>
    <row r="1209" spans="1:16" x14ac:dyDescent="0.25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</row>
    <row r="1210" spans="1:16" x14ac:dyDescent="0.25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</row>
    <row r="1211" spans="1:16" x14ac:dyDescent="0.25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</row>
    <row r="1212" spans="1:16" x14ac:dyDescent="0.25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</row>
    <row r="1213" spans="1:16" x14ac:dyDescent="0.25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</row>
    <row r="1214" spans="1:16" x14ac:dyDescent="0.25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</row>
    <row r="1215" spans="1:16" x14ac:dyDescent="0.25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</row>
    <row r="1216" spans="1:16" x14ac:dyDescent="0.25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</row>
    <row r="1217" spans="1:16" x14ac:dyDescent="0.25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</row>
    <row r="1218" spans="1:16" x14ac:dyDescent="0.25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</row>
    <row r="1219" spans="1:16" x14ac:dyDescent="0.25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</row>
    <row r="1220" spans="1:16" x14ac:dyDescent="0.25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</row>
    <row r="1221" spans="1:16" x14ac:dyDescent="0.25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</row>
    <row r="1222" spans="1:16" x14ac:dyDescent="0.25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</row>
    <row r="1223" spans="1:16" x14ac:dyDescent="0.25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</row>
    <row r="1224" spans="1:16" x14ac:dyDescent="0.25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</row>
    <row r="1225" spans="1:16" x14ac:dyDescent="0.25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</row>
    <row r="1226" spans="1:16" x14ac:dyDescent="0.25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</row>
    <row r="1227" spans="1:16" x14ac:dyDescent="0.25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</row>
    <row r="1228" spans="1:16" x14ac:dyDescent="0.25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</row>
    <row r="1229" spans="1:16" x14ac:dyDescent="0.25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</row>
    <row r="1230" spans="1:16" x14ac:dyDescent="0.25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</row>
    <row r="1231" spans="1:16" x14ac:dyDescent="0.25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</row>
    <row r="1232" spans="1:16" x14ac:dyDescent="0.25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</row>
    <row r="1233" spans="1:16" x14ac:dyDescent="0.25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</row>
    <row r="1234" spans="1:16" x14ac:dyDescent="0.25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</row>
    <row r="1235" spans="1:16" x14ac:dyDescent="0.25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</row>
    <row r="1236" spans="1:16" x14ac:dyDescent="0.25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</row>
    <row r="1237" spans="1:16" x14ac:dyDescent="0.25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</row>
    <row r="1238" spans="1:16" x14ac:dyDescent="0.25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</row>
    <row r="1239" spans="1:16" x14ac:dyDescent="0.25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</row>
    <row r="1240" spans="1:16" x14ac:dyDescent="0.25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</row>
    <row r="1241" spans="1:16" x14ac:dyDescent="0.25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</row>
    <row r="1242" spans="1:16" x14ac:dyDescent="0.25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</row>
    <row r="1243" spans="1:16" x14ac:dyDescent="0.25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</row>
    <row r="1244" spans="1:16" x14ac:dyDescent="0.25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</row>
    <row r="1245" spans="1:16" x14ac:dyDescent="0.25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</row>
    <row r="1246" spans="1:16" x14ac:dyDescent="0.25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</row>
    <row r="1247" spans="1:16" x14ac:dyDescent="0.25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</row>
    <row r="1248" spans="1:16" x14ac:dyDescent="0.25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</row>
    <row r="1249" spans="1:16" x14ac:dyDescent="0.25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</row>
    <row r="1250" spans="1:16" x14ac:dyDescent="0.25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</row>
    <row r="1251" spans="1:16" x14ac:dyDescent="0.25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</row>
    <row r="1252" spans="1:16" x14ac:dyDescent="0.25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</row>
    <row r="1253" spans="1:16" x14ac:dyDescent="0.25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</row>
    <row r="1254" spans="1:16" x14ac:dyDescent="0.25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</row>
    <row r="1255" spans="1:16" x14ac:dyDescent="0.25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</row>
    <row r="1256" spans="1:16" x14ac:dyDescent="0.25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</row>
    <row r="1257" spans="1:16" x14ac:dyDescent="0.25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</row>
    <row r="1258" spans="1:16" x14ac:dyDescent="0.25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</row>
    <row r="1259" spans="1:16" x14ac:dyDescent="0.25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</row>
    <row r="1260" spans="1:16" x14ac:dyDescent="0.25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</row>
    <row r="1261" spans="1:16" x14ac:dyDescent="0.25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</row>
    <row r="1262" spans="1:16" x14ac:dyDescent="0.25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</row>
    <row r="1263" spans="1:16" x14ac:dyDescent="0.25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</row>
    <row r="1264" spans="1:16" x14ac:dyDescent="0.25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</row>
    <row r="1265" spans="1:16" x14ac:dyDescent="0.25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</row>
    <row r="1266" spans="1:16" x14ac:dyDescent="0.25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</row>
    <row r="1267" spans="1:16" x14ac:dyDescent="0.25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</row>
    <row r="1268" spans="1:16" x14ac:dyDescent="0.25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</row>
    <row r="1269" spans="1:16" x14ac:dyDescent="0.25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</row>
    <row r="1270" spans="1:16" x14ac:dyDescent="0.25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</row>
    <row r="1271" spans="1:16" x14ac:dyDescent="0.25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</row>
    <row r="1272" spans="1:16" x14ac:dyDescent="0.25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</row>
    <row r="1273" spans="1:16" x14ac:dyDescent="0.25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</row>
    <row r="1274" spans="1:16" x14ac:dyDescent="0.25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</row>
    <row r="1275" spans="1:16" x14ac:dyDescent="0.25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</row>
    <row r="1276" spans="1:16" x14ac:dyDescent="0.25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</row>
    <row r="1277" spans="1:16" x14ac:dyDescent="0.25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</row>
    <row r="1278" spans="1:16" x14ac:dyDescent="0.25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</row>
    <row r="1279" spans="1:16" x14ac:dyDescent="0.25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</row>
    <row r="1280" spans="1:16" x14ac:dyDescent="0.25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</row>
    <row r="1281" spans="1:16" x14ac:dyDescent="0.25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</row>
    <row r="1282" spans="1:16" x14ac:dyDescent="0.25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</row>
    <row r="1283" spans="1:16" x14ac:dyDescent="0.25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</row>
    <row r="1284" spans="1:16" x14ac:dyDescent="0.25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</row>
    <row r="1285" spans="1:16" x14ac:dyDescent="0.25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</row>
    <row r="1286" spans="1:16" x14ac:dyDescent="0.25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</row>
    <row r="1287" spans="1:16" x14ac:dyDescent="0.25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</row>
    <row r="1288" spans="1:16" x14ac:dyDescent="0.25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</row>
    <row r="1289" spans="1:16" x14ac:dyDescent="0.25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</row>
    <row r="1290" spans="1:16" x14ac:dyDescent="0.25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</row>
    <row r="1291" spans="1:16" x14ac:dyDescent="0.25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</row>
    <row r="1292" spans="1:16" x14ac:dyDescent="0.25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</row>
    <row r="1293" spans="1:16" x14ac:dyDescent="0.25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</row>
    <row r="1294" spans="1:16" x14ac:dyDescent="0.25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</row>
    <row r="1295" spans="1:16" x14ac:dyDescent="0.25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</row>
    <row r="1296" spans="1:16" x14ac:dyDescent="0.25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</row>
    <row r="1297" spans="1:16" x14ac:dyDescent="0.25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</row>
    <row r="1298" spans="1:16" x14ac:dyDescent="0.25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</row>
    <row r="1299" spans="1:16" x14ac:dyDescent="0.25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</row>
    <row r="1300" spans="1:16" x14ac:dyDescent="0.25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</row>
    <row r="1301" spans="1:16" x14ac:dyDescent="0.25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</row>
    <row r="1302" spans="1:16" x14ac:dyDescent="0.25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</row>
    <row r="1303" spans="1:16" x14ac:dyDescent="0.25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</row>
    <row r="1304" spans="1:16" x14ac:dyDescent="0.25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</row>
    <row r="1305" spans="1:16" x14ac:dyDescent="0.25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</row>
    <row r="1306" spans="1:16" x14ac:dyDescent="0.25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</row>
    <row r="1307" spans="1:16" x14ac:dyDescent="0.25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</row>
    <row r="1308" spans="1:16" x14ac:dyDescent="0.25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</row>
    <row r="1309" spans="1:16" x14ac:dyDescent="0.25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</row>
    <row r="1310" spans="1:16" x14ac:dyDescent="0.25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</row>
    <row r="1311" spans="1:16" x14ac:dyDescent="0.25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</row>
    <row r="1312" spans="1:16" x14ac:dyDescent="0.25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</row>
    <row r="1313" spans="1:16" x14ac:dyDescent="0.25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</row>
    <row r="1314" spans="1:16" x14ac:dyDescent="0.25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</row>
    <row r="1315" spans="1:16" x14ac:dyDescent="0.25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</row>
    <row r="1316" spans="1:16" x14ac:dyDescent="0.25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</row>
    <row r="1317" spans="1:16" x14ac:dyDescent="0.25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</row>
    <row r="1318" spans="1:16" x14ac:dyDescent="0.25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</row>
    <row r="1319" spans="1:16" x14ac:dyDescent="0.25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</row>
    <row r="1320" spans="1:16" x14ac:dyDescent="0.25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</row>
    <row r="1321" spans="1:16" x14ac:dyDescent="0.25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</row>
    <row r="1322" spans="1:16" x14ac:dyDescent="0.25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</row>
    <row r="1323" spans="1:16" x14ac:dyDescent="0.25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</row>
    <row r="1324" spans="1:16" x14ac:dyDescent="0.25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</row>
    <row r="1325" spans="1:16" x14ac:dyDescent="0.25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</row>
    <row r="1326" spans="1:16" x14ac:dyDescent="0.25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</row>
    <row r="1327" spans="1:16" x14ac:dyDescent="0.25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</row>
    <row r="1328" spans="1:16" x14ac:dyDescent="0.25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</row>
    <row r="1329" spans="1:16" x14ac:dyDescent="0.25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</row>
    <row r="1330" spans="1:16" x14ac:dyDescent="0.25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</row>
    <row r="1331" spans="1:16" x14ac:dyDescent="0.25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</row>
    <row r="1332" spans="1:16" x14ac:dyDescent="0.25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</row>
    <row r="1333" spans="1:16" x14ac:dyDescent="0.25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</row>
    <row r="1334" spans="1:16" x14ac:dyDescent="0.25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</row>
    <row r="1335" spans="1:16" x14ac:dyDescent="0.25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</row>
    <row r="1336" spans="1:16" x14ac:dyDescent="0.25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</row>
    <row r="1337" spans="1:16" x14ac:dyDescent="0.25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</row>
    <row r="1338" spans="1:16" x14ac:dyDescent="0.25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</row>
    <row r="1339" spans="1:16" x14ac:dyDescent="0.25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</row>
    <row r="1340" spans="1:16" x14ac:dyDescent="0.25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</row>
    <row r="1341" spans="1:16" x14ac:dyDescent="0.25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</row>
    <row r="1342" spans="1:16" x14ac:dyDescent="0.25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</row>
    <row r="1343" spans="1:16" x14ac:dyDescent="0.25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</row>
    <row r="1344" spans="1:16" x14ac:dyDescent="0.25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</row>
    <row r="1345" spans="1:16" x14ac:dyDescent="0.25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</row>
    <row r="1346" spans="1:16" x14ac:dyDescent="0.25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</row>
    <row r="1347" spans="1:16" x14ac:dyDescent="0.25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</row>
    <row r="1348" spans="1:16" x14ac:dyDescent="0.25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</row>
    <row r="1349" spans="1:16" x14ac:dyDescent="0.25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</row>
    <row r="1350" spans="1:16" x14ac:dyDescent="0.25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</row>
    <row r="1351" spans="1:16" x14ac:dyDescent="0.25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</row>
    <row r="1352" spans="1:16" x14ac:dyDescent="0.25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</row>
    <row r="1353" spans="1:16" x14ac:dyDescent="0.25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</row>
    <row r="1354" spans="1:16" x14ac:dyDescent="0.25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</row>
    <row r="1355" spans="1:16" x14ac:dyDescent="0.25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</row>
    <row r="1356" spans="1:16" x14ac:dyDescent="0.25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</row>
    <row r="1357" spans="1:16" x14ac:dyDescent="0.25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</row>
    <row r="1358" spans="1:16" x14ac:dyDescent="0.25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</row>
    <row r="1359" spans="1:16" x14ac:dyDescent="0.25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</row>
    <row r="1360" spans="1:16" x14ac:dyDescent="0.25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</row>
    <row r="1361" spans="1:16" x14ac:dyDescent="0.25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</row>
    <row r="1362" spans="1:16" x14ac:dyDescent="0.25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</row>
    <row r="1363" spans="1:16" x14ac:dyDescent="0.25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</row>
    <row r="1364" spans="1:16" x14ac:dyDescent="0.25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</row>
    <row r="1365" spans="1:16" x14ac:dyDescent="0.25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</row>
    <row r="1366" spans="1:16" x14ac:dyDescent="0.25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</row>
    <row r="1367" spans="1:16" x14ac:dyDescent="0.25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</row>
    <row r="1368" spans="1:16" x14ac:dyDescent="0.25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</row>
    <row r="1369" spans="1:16" x14ac:dyDescent="0.25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</row>
    <row r="1370" spans="1:16" x14ac:dyDescent="0.25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</row>
    <row r="1371" spans="1:16" x14ac:dyDescent="0.25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</row>
    <row r="1372" spans="1:16" x14ac:dyDescent="0.25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</row>
    <row r="1373" spans="1:16" x14ac:dyDescent="0.25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</row>
    <row r="1374" spans="1:16" x14ac:dyDescent="0.25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</row>
    <row r="1375" spans="1:16" x14ac:dyDescent="0.25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</row>
    <row r="1376" spans="1:16" x14ac:dyDescent="0.25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</row>
    <row r="1377" spans="1:16" x14ac:dyDescent="0.25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</row>
    <row r="1378" spans="1:16" x14ac:dyDescent="0.25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</row>
    <row r="1379" spans="1:16" x14ac:dyDescent="0.25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</row>
    <row r="1380" spans="1:16" x14ac:dyDescent="0.25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</row>
    <row r="1381" spans="1:16" x14ac:dyDescent="0.25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</row>
    <row r="1382" spans="1:16" x14ac:dyDescent="0.25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</row>
    <row r="1383" spans="1:16" x14ac:dyDescent="0.25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</row>
    <row r="1384" spans="1:16" x14ac:dyDescent="0.25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</row>
    <row r="1385" spans="1:16" x14ac:dyDescent="0.25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</row>
    <row r="1386" spans="1:16" x14ac:dyDescent="0.25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</row>
    <row r="1387" spans="1:16" x14ac:dyDescent="0.25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</row>
    <row r="1388" spans="1:16" x14ac:dyDescent="0.25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</row>
    <row r="1389" spans="1:16" x14ac:dyDescent="0.25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</row>
    <row r="1390" spans="1:16" x14ac:dyDescent="0.25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</row>
    <row r="1391" spans="1:16" x14ac:dyDescent="0.25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</row>
    <row r="1392" spans="1:16" x14ac:dyDescent="0.25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</row>
    <row r="1393" spans="1:16" x14ac:dyDescent="0.25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</row>
    <row r="1394" spans="1:16" x14ac:dyDescent="0.25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</row>
    <row r="1395" spans="1:16" x14ac:dyDescent="0.25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</row>
    <row r="1396" spans="1:16" x14ac:dyDescent="0.25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</row>
    <row r="1397" spans="1:16" x14ac:dyDescent="0.25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</row>
    <row r="1398" spans="1:16" x14ac:dyDescent="0.25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</row>
    <row r="1399" spans="1:16" x14ac:dyDescent="0.25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</row>
    <row r="1400" spans="1:16" x14ac:dyDescent="0.25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</row>
    <row r="1401" spans="1:16" x14ac:dyDescent="0.25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</row>
    <row r="1402" spans="1:16" x14ac:dyDescent="0.25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</row>
    <row r="1403" spans="1:16" x14ac:dyDescent="0.25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</row>
    <row r="1404" spans="1:16" x14ac:dyDescent="0.25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</row>
    <row r="1405" spans="1:16" x14ac:dyDescent="0.25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</row>
    <row r="1406" spans="1:16" x14ac:dyDescent="0.25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</row>
    <row r="1407" spans="1:16" x14ac:dyDescent="0.25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</row>
    <row r="1408" spans="1:16" x14ac:dyDescent="0.25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</row>
    <row r="1409" spans="1:16" x14ac:dyDescent="0.25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</row>
    <row r="1410" spans="1:16" x14ac:dyDescent="0.25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</row>
    <row r="1411" spans="1:16" x14ac:dyDescent="0.25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</row>
    <row r="1412" spans="1:16" x14ac:dyDescent="0.25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</row>
    <row r="1413" spans="1:16" x14ac:dyDescent="0.25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</row>
    <row r="1414" spans="1:16" x14ac:dyDescent="0.25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</row>
    <row r="1415" spans="1:16" x14ac:dyDescent="0.25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</row>
    <row r="1416" spans="1:16" x14ac:dyDescent="0.25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</row>
    <row r="1417" spans="1:16" x14ac:dyDescent="0.25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</row>
    <row r="1418" spans="1:16" x14ac:dyDescent="0.25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</row>
    <row r="1419" spans="1:16" x14ac:dyDescent="0.25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</row>
    <row r="1420" spans="1:16" x14ac:dyDescent="0.25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</row>
    <row r="1421" spans="1:16" x14ac:dyDescent="0.25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</row>
    <row r="1422" spans="1:16" x14ac:dyDescent="0.25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</row>
    <row r="1423" spans="1:16" x14ac:dyDescent="0.25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</row>
    <row r="1424" spans="1:16" x14ac:dyDescent="0.25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</row>
    <row r="1425" spans="1:16" x14ac:dyDescent="0.25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</row>
    <row r="1426" spans="1:16" x14ac:dyDescent="0.25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</row>
    <row r="1427" spans="1:16" x14ac:dyDescent="0.25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</row>
    <row r="1428" spans="1:16" x14ac:dyDescent="0.25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</row>
    <row r="1429" spans="1:16" x14ac:dyDescent="0.25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</row>
    <row r="1430" spans="1:16" x14ac:dyDescent="0.25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</row>
    <row r="1431" spans="1:16" x14ac:dyDescent="0.25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</row>
    <row r="1432" spans="1:16" x14ac:dyDescent="0.25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</row>
    <row r="1433" spans="1:16" x14ac:dyDescent="0.25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</row>
    <row r="1434" spans="1:16" x14ac:dyDescent="0.25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</row>
    <row r="1435" spans="1:16" x14ac:dyDescent="0.25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</row>
    <row r="1436" spans="1:16" x14ac:dyDescent="0.25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</row>
    <row r="1437" spans="1:16" x14ac:dyDescent="0.25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</row>
    <row r="1438" spans="1:16" x14ac:dyDescent="0.25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</row>
    <row r="1439" spans="1:16" x14ac:dyDescent="0.25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</row>
    <row r="1440" spans="1:16" x14ac:dyDescent="0.25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</row>
    <row r="1441" spans="1:16" x14ac:dyDescent="0.25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</row>
    <row r="1442" spans="1:16" x14ac:dyDescent="0.25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</row>
    <row r="1443" spans="1:16" x14ac:dyDescent="0.25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</row>
    <row r="1444" spans="1:16" x14ac:dyDescent="0.25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</row>
    <row r="1445" spans="1:16" x14ac:dyDescent="0.25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</row>
    <row r="1446" spans="1:16" x14ac:dyDescent="0.25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</row>
    <row r="1447" spans="1:16" x14ac:dyDescent="0.25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</row>
    <row r="1448" spans="1:16" x14ac:dyDescent="0.25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</row>
    <row r="1449" spans="1:16" x14ac:dyDescent="0.25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</row>
    <row r="1450" spans="1:16" x14ac:dyDescent="0.25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</row>
    <row r="1451" spans="1:16" x14ac:dyDescent="0.25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</row>
    <row r="1452" spans="1:16" x14ac:dyDescent="0.25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</row>
    <row r="1453" spans="1:16" x14ac:dyDescent="0.25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</row>
    <row r="1454" spans="1:16" x14ac:dyDescent="0.25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</row>
    <row r="1455" spans="1:16" x14ac:dyDescent="0.25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</row>
    <row r="1456" spans="1:16" x14ac:dyDescent="0.25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</row>
    <row r="1457" spans="1:16" x14ac:dyDescent="0.25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</row>
    <row r="1458" spans="1:16" x14ac:dyDescent="0.25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</row>
    <row r="1459" spans="1:16" x14ac:dyDescent="0.25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</row>
    <row r="1460" spans="1:16" x14ac:dyDescent="0.25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</row>
    <row r="1461" spans="1:16" x14ac:dyDescent="0.25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</row>
    <row r="1462" spans="1:16" x14ac:dyDescent="0.25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</row>
    <row r="1463" spans="1:16" x14ac:dyDescent="0.25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</row>
    <row r="1464" spans="1:16" x14ac:dyDescent="0.25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</row>
    <row r="1465" spans="1:16" x14ac:dyDescent="0.25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</row>
    <row r="1466" spans="1:16" x14ac:dyDescent="0.25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</row>
    <row r="1467" spans="1:16" x14ac:dyDescent="0.25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</row>
    <row r="1468" spans="1:16" x14ac:dyDescent="0.25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</row>
    <row r="1469" spans="1:16" x14ac:dyDescent="0.25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</row>
    <row r="1470" spans="1:16" x14ac:dyDescent="0.25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</row>
    <row r="1471" spans="1:16" x14ac:dyDescent="0.25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</row>
    <row r="1472" spans="1:16" x14ac:dyDescent="0.25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</row>
    <row r="1473" spans="1:16" x14ac:dyDescent="0.25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</row>
    <row r="1474" spans="1:16" x14ac:dyDescent="0.25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</row>
    <row r="1475" spans="1:16" x14ac:dyDescent="0.25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</row>
    <row r="1476" spans="1:16" x14ac:dyDescent="0.25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</row>
    <row r="1477" spans="1:16" x14ac:dyDescent="0.25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</row>
    <row r="1478" spans="1:16" x14ac:dyDescent="0.25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</row>
    <row r="1479" spans="1:16" x14ac:dyDescent="0.25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</row>
    <row r="1480" spans="1:16" x14ac:dyDescent="0.25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</row>
    <row r="1481" spans="1:16" x14ac:dyDescent="0.25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</row>
    <row r="1482" spans="1:16" x14ac:dyDescent="0.25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</row>
    <row r="1483" spans="1:16" x14ac:dyDescent="0.25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</row>
    <row r="1484" spans="1:16" x14ac:dyDescent="0.25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</row>
    <row r="1485" spans="1:16" x14ac:dyDescent="0.25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</row>
    <row r="1486" spans="1:16" x14ac:dyDescent="0.25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</row>
    <row r="1487" spans="1:16" x14ac:dyDescent="0.25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</row>
    <row r="1488" spans="1:16" x14ac:dyDescent="0.25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</row>
    <row r="1489" spans="1:16" x14ac:dyDescent="0.25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</row>
    <row r="1490" spans="1:16" x14ac:dyDescent="0.25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</row>
    <row r="1491" spans="1:16" x14ac:dyDescent="0.25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</row>
    <row r="1492" spans="1:16" x14ac:dyDescent="0.25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</row>
    <row r="1493" spans="1:16" x14ac:dyDescent="0.25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</row>
    <row r="1494" spans="1:16" x14ac:dyDescent="0.25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</row>
    <row r="1495" spans="1:16" x14ac:dyDescent="0.25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</row>
    <row r="1496" spans="1:16" x14ac:dyDescent="0.25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</row>
    <row r="1497" spans="1:16" x14ac:dyDescent="0.25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</row>
    <row r="1498" spans="1:16" x14ac:dyDescent="0.25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</row>
    <row r="1499" spans="1:16" x14ac:dyDescent="0.25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</row>
    <row r="1500" spans="1:16" x14ac:dyDescent="0.25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</row>
    <row r="1501" spans="1:16" x14ac:dyDescent="0.25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</row>
    <row r="1502" spans="1:16" x14ac:dyDescent="0.25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</row>
    <row r="1503" spans="1:16" x14ac:dyDescent="0.25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</row>
    <row r="1504" spans="1:16" x14ac:dyDescent="0.25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</row>
    <row r="1505" spans="1:16" x14ac:dyDescent="0.25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</row>
    <row r="1506" spans="1:16" x14ac:dyDescent="0.25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</row>
    <row r="1507" spans="1:16" x14ac:dyDescent="0.25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</row>
    <row r="1508" spans="1:16" x14ac:dyDescent="0.25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</row>
    <row r="1509" spans="1:16" x14ac:dyDescent="0.25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</row>
    <row r="1510" spans="1:16" x14ac:dyDescent="0.25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</row>
    <row r="1511" spans="1:16" x14ac:dyDescent="0.25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</row>
    <row r="1512" spans="1:16" x14ac:dyDescent="0.25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</row>
    <row r="1513" spans="1:16" x14ac:dyDescent="0.25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</row>
    <row r="1514" spans="1:16" x14ac:dyDescent="0.25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</row>
    <row r="1515" spans="1:16" x14ac:dyDescent="0.25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</row>
    <row r="1516" spans="1:16" x14ac:dyDescent="0.25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</row>
    <row r="1517" spans="1:16" x14ac:dyDescent="0.25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</row>
    <row r="1518" spans="1:16" x14ac:dyDescent="0.25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</row>
    <row r="1519" spans="1:16" x14ac:dyDescent="0.25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</row>
    <row r="1520" spans="1:16" x14ac:dyDescent="0.25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</row>
    <row r="1521" spans="1:16" x14ac:dyDescent="0.25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</row>
    <row r="1522" spans="1:16" x14ac:dyDescent="0.25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</row>
    <row r="1523" spans="1:16" x14ac:dyDescent="0.25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</row>
    <row r="1524" spans="1:16" x14ac:dyDescent="0.25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</row>
    <row r="1525" spans="1:16" x14ac:dyDescent="0.25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</row>
    <row r="1526" spans="1:16" x14ac:dyDescent="0.25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</row>
    <row r="1527" spans="1:16" x14ac:dyDescent="0.25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</row>
    <row r="1528" spans="1:16" x14ac:dyDescent="0.25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</row>
    <row r="1529" spans="1:16" x14ac:dyDescent="0.25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</row>
    <row r="1530" spans="1:16" x14ac:dyDescent="0.25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</row>
    <row r="1531" spans="1:16" x14ac:dyDescent="0.25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</row>
    <row r="1532" spans="1:16" x14ac:dyDescent="0.25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</row>
    <row r="1533" spans="1:16" x14ac:dyDescent="0.25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</row>
    <row r="1534" spans="1:16" x14ac:dyDescent="0.25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</row>
    <row r="1535" spans="1:16" x14ac:dyDescent="0.25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</row>
    <row r="1536" spans="1:16" x14ac:dyDescent="0.25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</row>
    <row r="1537" spans="1:16" x14ac:dyDescent="0.25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</row>
    <row r="1538" spans="1:16" x14ac:dyDescent="0.25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</row>
    <row r="1539" spans="1:16" x14ac:dyDescent="0.25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</row>
    <row r="1540" spans="1:16" x14ac:dyDescent="0.25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</row>
    <row r="1541" spans="1:16" x14ac:dyDescent="0.25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</row>
    <row r="1542" spans="1:16" x14ac:dyDescent="0.25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</row>
    <row r="1543" spans="1:16" x14ac:dyDescent="0.25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</row>
    <row r="1544" spans="1:16" x14ac:dyDescent="0.25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</row>
    <row r="1545" spans="1:16" x14ac:dyDescent="0.25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</row>
    <row r="1546" spans="1:16" x14ac:dyDescent="0.25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</row>
    <row r="1547" spans="1:16" x14ac:dyDescent="0.25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</row>
    <row r="1548" spans="1:16" x14ac:dyDescent="0.25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</row>
    <row r="1549" spans="1:16" x14ac:dyDescent="0.25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</row>
    <row r="1550" spans="1:16" x14ac:dyDescent="0.25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</row>
    <row r="1551" spans="1:16" x14ac:dyDescent="0.25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</row>
    <row r="1552" spans="1:16" x14ac:dyDescent="0.25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</row>
    <row r="1553" spans="1:16" x14ac:dyDescent="0.25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</row>
    <row r="1554" spans="1:16" x14ac:dyDescent="0.25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</row>
    <row r="1555" spans="1:16" x14ac:dyDescent="0.25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</row>
    <row r="1556" spans="1:16" x14ac:dyDescent="0.25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</row>
    <row r="1557" spans="1:16" x14ac:dyDescent="0.25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</row>
    <row r="1558" spans="1:16" x14ac:dyDescent="0.25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</row>
    <row r="1559" spans="1:16" x14ac:dyDescent="0.25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</row>
    <row r="1560" spans="1:16" x14ac:dyDescent="0.25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</row>
    <row r="1561" spans="1:16" x14ac:dyDescent="0.25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</row>
    <row r="1562" spans="1:16" x14ac:dyDescent="0.25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</row>
    <row r="1563" spans="1:16" x14ac:dyDescent="0.25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</row>
    <row r="1564" spans="1:16" x14ac:dyDescent="0.25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</row>
    <row r="1565" spans="1:16" x14ac:dyDescent="0.25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</row>
    <row r="1566" spans="1:16" x14ac:dyDescent="0.25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</row>
    <row r="1567" spans="1:16" x14ac:dyDescent="0.25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</row>
    <row r="1568" spans="1:16" x14ac:dyDescent="0.25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</row>
    <row r="1569" spans="1:16" x14ac:dyDescent="0.25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</row>
    <row r="1570" spans="1:16" x14ac:dyDescent="0.25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</row>
    <row r="1571" spans="1:16" x14ac:dyDescent="0.25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</row>
    <row r="1572" spans="1:16" x14ac:dyDescent="0.25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</row>
    <row r="1573" spans="1:16" x14ac:dyDescent="0.25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</row>
    <row r="1574" spans="1:16" x14ac:dyDescent="0.25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</row>
    <row r="1575" spans="1:16" x14ac:dyDescent="0.25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</row>
    <row r="1576" spans="1:16" x14ac:dyDescent="0.25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</row>
    <row r="1577" spans="1:16" x14ac:dyDescent="0.25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</row>
    <row r="1578" spans="1:16" x14ac:dyDescent="0.25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</row>
    <row r="1579" spans="1:16" x14ac:dyDescent="0.25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</row>
    <row r="1580" spans="1:16" x14ac:dyDescent="0.25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</row>
    <row r="1581" spans="1:16" x14ac:dyDescent="0.25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</row>
    <row r="1582" spans="1:16" x14ac:dyDescent="0.25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</row>
    <row r="1583" spans="1:16" x14ac:dyDescent="0.25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</row>
    <row r="1584" spans="1:16" x14ac:dyDescent="0.25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</row>
    <row r="1585" spans="1:16" x14ac:dyDescent="0.25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</row>
    <row r="1586" spans="1:16" x14ac:dyDescent="0.25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</row>
    <row r="1587" spans="1:16" x14ac:dyDescent="0.25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</row>
    <row r="1588" spans="1:16" x14ac:dyDescent="0.25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</row>
    <row r="1589" spans="1:16" x14ac:dyDescent="0.25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</row>
    <row r="1590" spans="1:16" x14ac:dyDescent="0.25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</row>
    <row r="1591" spans="1:16" x14ac:dyDescent="0.25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</row>
    <row r="1592" spans="1:16" x14ac:dyDescent="0.25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</row>
    <row r="1593" spans="1:16" x14ac:dyDescent="0.25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</row>
    <row r="1594" spans="1:16" x14ac:dyDescent="0.25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</row>
    <row r="1595" spans="1:16" x14ac:dyDescent="0.25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</row>
    <row r="1596" spans="1:16" x14ac:dyDescent="0.25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</row>
    <row r="1597" spans="1:16" x14ac:dyDescent="0.25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</row>
    <row r="1598" spans="1:16" x14ac:dyDescent="0.25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</row>
    <row r="1599" spans="1:16" x14ac:dyDescent="0.25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</row>
    <row r="1600" spans="1:16" x14ac:dyDescent="0.25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</row>
    <row r="1601" spans="1:16" x14ac:dyDescent="0.25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</row>
    <row r="1602" spans="1:16" x14ac:dyDescent="0.25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</row>
    <row r="1603" spans="1:16" x14ac:dyDescent="0.25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</row>
    <row r="1604" spans="1:16" x14ac:dyDescent="0.25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</row>
    <row r="1605" spans="1:16" x14ac:dyDescent="0.25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</row>
    <row r="1606" spans="1:16" x14ac:dyDescent="0.25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</row>
    <row r="1607" spans="1:16" x14ac:dyDescent="0.25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</row>
    <row r="1608" spans="1:16" x14ac:dyDescent="0.25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</row>
    <row r="1609" spans="1:16" x14ac:dyDescent="0.25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</row>
    <row r="1610" spans="1:16" x14ac:dyDescent="0.25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</row>
    <row r="1611" spans="1:16" x14ac:dyDescent="0.25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</row>
    <row r="1612" spans="1:16" x14ac:dyDescent="0.25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</row>
    <row r="1613" spans="1:16" x14ac:dyDescent="0.25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</row>
    <row r="1614" spans="1:16" x14ac:dyDescent="0.25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</row>
    <row r="1615" spans="1:16" x14ac:dyDescent="0.25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</row>
    <row r="1616" spans="1:16" x14ac:dyDescent="0.25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</row>
    <row r="1617" spans="1:16" x14ac:dyDescent="0.25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</row>
    <row r="1618" spans="1:16" x14ac:dyDescent="0.25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</row>
    <row r="1619" spans="1:16" x14ac:dyDescent="0.25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</row>
    <row r="1620" spans="1:16" x14ac:dyDescent="0.25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</row>
    <row r="1621" spans="1:16" x14ac:dyDescent="0.25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</row>
    <row r="1622" spans="1:16" x14ac:dyDescent="0.25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</row>
    <row r="1623" spans="1:16" x14ac:dyDescent="0.25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</row>
    <row r="1624" spans="1:16" x14ac:dyDescent="0.25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</row>
    <row r="1625" spans="1:16" x14ac:dyDescent="0.25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</row>
    <row r="1626" spans="1:16" x14ac:dyDescent="0.25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</row>
    <row r="1627" spans="1:16" x14ac:dyDescent="0.25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</row>
    <row r="1628" spans="1:16" x14ac:dyDescent="0.25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</row>
    <row r="1629" spans="1:16" x14ac:dyDescent="0.25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</row>
    <row r="1630" spans="1:16" x14ac:dyDescent="0.25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</row>
    <row r="1631" spans="1:16" x14ac:dyDescent="0.25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</row>
    <row r="1632" spans="1:16" x14ac:dyDescent="0.25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</row>
    <row r="1633" spans="1:16" x14ac:dyDescent="0.25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</row>
    <row r="1634" spans="1:16" x14ac:dyDescent="0.25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</row>
    <row r="1635" spans="1:16" x14ac:dyDescent="0.25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</row>
    <row r="1636" spans="1:16" x14ac:dyDescent="0.25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</row>
    <row r="1637" spans="1:16" x14ac:dyDescent="0.25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</row>
    <row r="1638" spans="1:16" x14ac:dyDescent="0.25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</row>
    <row r="1639" spans="1:16" x14ac:dyDescent="0.25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</row>
    <row r="1640" spans="1:16" x14ac:dyDescent="0.25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</row>
    <row r="1641" spans="1:16" x14ac:dyDescent="0.25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</row>
    <row r="1642" spans="1:16" x14ac:dyDescent="0.25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</row>
    <row r="1643" spans="1:16" x14ac:dyDescent="0.25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</row>
    <row r="1644" spans="1:16" x14ac:dyDescent="0.25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</row>
    <row r="1645" spans="1:16" x14ac:dyDescent="0.25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</row>
    <row r="1646" spans="1:16" x14ac:dyDescent="0.25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</row>
    <row r="1647" spans="1:16" x14ac:dyDescent="0.25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</row>
    <row r="1648" spans="1:16" x14ac:dyDescent="0.25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</row>
    <row r="1649" spans="1:16" x14ac:dyDescent="0.25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</row>
    <row r="1650" spans="1:16" x14ac:dyDescent="0.25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</row>
    <row r="1651" spans="1:16" x14ac:dyDescent="0.25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</row>
    <row r="1652" spans="1:16" x14ac:dyDescent="0.25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</row>
    <row r="1653" spans="1:16" x14ac:dyDescent="0.25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</row>
    <row r="1654" spans="1:16" x14ac:dyDescent="0.25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</row>
    <row r="1655" spans="1:16" x14ac:dyDescent="0.25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</row>
    <row r="1656" spans="1:16" x14ac:dyDescent="0.25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</row>
    <row r="1657" spans="1:16" x14ac:dyDescent="0.25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</row>
    <row r="1658" spans="1:16" x14ac:dyDescent="0.25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</row>
    <row r="1659" spans="1:16" x14ac:dyDescent="0.25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</row>
    <row r="1660" spans="1:16" x14ac:dyDescent="0.25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</row>
    <row r="1661" spans="1:16" x14ac:dyDescent="0.25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</row>
    <row r="1662" spans="1:16" x14ac:dyDescent="0.25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</row>
    <row r="1663" spans="1:16" x14ac:dyDescent="0.25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</row>
    <row r="1664" spans="1:16" x14ac:dyDescent="0.25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</row>
    <row r="1665" spans="1:16" x14ac:dyDescent="0.25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</row>
    <row r="1666" spans="1:16" x14ac:dyDescent="0.25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</row>
    <row r="1667" spans="1:16" x14ac:dyDescent="0.25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</row>
    <row r="1668" spans="1:16" x14ac:dyDescent="0.25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</row>
    <row r="1669" spans="1:16" x14ac:dyDescent="0.25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</row>
    <row r="1670" spans="1:16" x14ac:dyDescent="0.25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</row>
    <row r="1671" spans="1:16" x14ac:dyDescent="0.25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</row>
    <row r="1672" spans="1:16" x14ac:dyDescent="0.25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</row>
    <row r="1673" spans="1:16" x14ac:dyDescent="0.25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</row>
    <row r="1674" spans="1:16" x14ac:dyDescent="0.25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</row>
    <row r="1675" spans="1:16" x14ac:dyDescent="0.25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</row>
    <row r="1676" spans="1:16" x14ac:dyDescent="0.25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</row>
    <row r="1677" spans="1:16" x14ac:dyDescent="0.25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</row>
    <row r="1678" spans="1:16" x14ac:dyDescent="0.25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</row>
    <row r="1679" spans="1:16" x14ac:dyDescent="0.25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</row>
    <row r="1680" spans="1:16" x14ac:dyDescent="0.25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</row>
    <row r="1681" spans="1:16" x14ac:dyDescent="0.25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</row>
    <row r="1682" spans="1:16" x14ac:dyDescent="0.25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</row>
    <row r="1683" spans="1:16" x14ac:dyDescent="0.25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</row>
    <row r="1684" spans="1:16" x14ac:dyDescent="0.25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</row>
    <row r="1685" spans="1:16" x14ac:dyDescent="0.25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</row>
    <row r="1686" spans="1:16" x14ac:dyDescent="0.25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</row>
    <row r="1687" spans="1:16" x14ac:dyDescent="0.25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</row>
    <row r="1688" spans="1:16" x14ac:dyDescent="0.25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</row>
    <row r="1689" spans="1:16" x14ac:dyDescent="0.25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</row>
    <row r="1690" spans="1:16" x14ac:dyDescent="0.25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</row>
    <row r="1691" spans="1:16" x14ac:dyDescent="0.25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</row>
    <row r="1692" spans="1:16" x14ac:dyDescent="0.25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</row>
    <row r="1693" spans="1:16" x14ac:dyDescent="0.25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</row>
    <row r="1694" spans="1:16" x14ac:dyDescent="0.25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</row>
    <row r="1695" spans="1:16" x14ac:dyDescent="0.25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</row>
    <row r="1696" spans="1:16" x14ac:dyDescent="0.25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</row>
    <row r="1697" spans="1:16" x14ac:dyDescent="0.25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</row>
    <row r="1698" spans="1:16" x14ac:dyDescent="0.25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</row>
    <row r="1699" spans="1:16" x14ac:dyDescent="0.25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</row>
    <row r="1700" spans="1:16" x14ac:dyDescent="0.25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</row>
    <row r="1701" spans="1:16" x14ac:dyDescent="0.25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</row>
    <row r="1702" spans="1:16" x14ac:dyDescent="0.25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</row>
    <row r="1703" spans="1:16" x14ac:dyDescent="0.25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</row>
    <row r="1704" spans="1:16" x14ac:dyDescent="0.25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</row>
    <row r="1705" spans="1:16" x14ac:dyDescent="0.25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</row>
    <row r="1706" spans="1:16" x14ac:dyDescent="0.25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</row>
    <row r="1707" spans="1:16" x14ac:dyDescent="0.25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</row>
    <row r="1708" spans="1:16" x14ac:dyDescent="0.25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</row>
    <row r="1709" spans="1:16" x14ac:dyDescent="0.25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</row>
    <row r="1710" spans="1:16" x14ac:dyDescent="0.25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</row>
    <row r="1711" spans="1:16" x14ac:dyDescent="0.25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</row>
    <row r="1712" spans="1:16" x14ac:dyDescent="0.25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</row>
    <row r="1713" spans="1:16" x14ac:dyDescent="0.25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</row>
    <row r="1714" spans="1:16" x14ac:dyDescent="0.25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</row>
    <row r="1715" spans="1:16" x14ac:dyDescent="0.25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</row>
    <row r="1716" spans="1:16" x14ac:dyDescent="0.25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</row>
    <row r="1717" spans="1:16" x14ac:dyDescent="0.25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</row>
    <row r="1718" spans="1:16" x14ac:dyDescent="0.25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</row>
    <row r="1719" spans="1:16" x14ac:dyDescent="0.25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</row>
    <row r="1720" spans="1:16" x14ac:dyDescent="0.25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</row>
    <row r="1721" spans="1:16" x14ac:dyDescent="0.25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</row>
    <row r="1722" spans="1:16" x14ac:dyDescent="0.25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</row>
    <row r="1723" spans="1:16" x14ac:dyDescent="0.25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</row>
    <row r="1724" spans="1:16" x14ac:dyDescent="0.25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</row>
    <row r="1725" spans="1:16" x14ac:dyDescent="0.25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</row>
    <row r="1726" spans="1:16" x14ac:dyDescent="0.25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</row>
    <row r="1727" spans="1:16" x14ac:dyDescent="0.25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</row>
    <row r="1728" spans="1:16" x14ac:dyDescent="0.25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</row>
    <row r="1729" spans="1:16" x14ac:dyDescent="0.25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</row>
    <row r="1730" spans="1:16" x14ac:dyDescent="0.25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</row>
    <row r="1731" spans="1:16" x14ac:dyDescent="0.25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</row>
    <row r="1732" spans="1:16" x14ac:dyDescent="0.25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</row>
    <row r="1733" spans="1:16" x14ac:dyDescent="0.25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</row>
    <row r="1734" spans="1:16" x14ac:dyDescent="0.25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</row>
    <row r="1735" spans="1:16" x14ac:dyDescent="0.25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</row>
    <row r="1736" spans="1:16" x14ac:dyDescent="0.25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</row>
    <row r="1737" spans="1:16" x14ac:dyDescent="0.25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</row>
    <row r="1738" spans="1:16" x14ac:dyDescent="0.25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</row>
    <row r="1739" spans="1:16" x14ac:dyDescent="0.25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</row>
    <row r="1740" spans="1:16" x14ac:dyDescent="0.25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</row>
    <row r="1741" spans="1:16" x14ac:dyDescent="0.25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</row>
    <row r="1742" spans="1:16" x14ac:dyDescent="0.25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</row>
    <row r="1743" spans="1:16" x14ac:dyDescent="0.25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</row>
    <row r="1744" spans="1:16" x14ac:dyDescent="0.25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</row>
    <row r="1745" spans="1:16" x14ac:dyDescent="0.25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</row>
    <row r="1746" spans="1:16" x14ac:dyDescent="0.25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</row>
    <row r="1747" spans="1:16" x14ac:dyDescent="0.25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</row>
    <row r="1748" spans="1:16" x14ac:dyDescent="0.25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</row>
    <row r="1749" spans="1:16" x14ac:dyDescent="0.25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</row>
    <row r="1750" spans="1:16" x14ac:dyDescent="0.25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</row>
    <row r="1751" spans="1:16" x14ac:dyDescent="0.25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</row>
    <row r="1752" spans="1:16" x14ac:dyDescent="0.25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</row>
    <row r="1753" spans="1:16" x14ac:dyDescent="0.25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</row>
    <row r="1754" spans="1:16" x14ac:dyDescent="0.25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</row>
    <row r="1755" spans="1:16" x14ac:dyDescent="0.25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</row>
    <row r="1756" spans="1:16" x14ac:dyDescent="0.25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</row>
    <row r="1757" spans="1:16" x14ac:dyDescent="0.25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</row>
    <row r="1758" spans="1:16" x14ac:dyDescent="0.25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</row>
    <row r="1759" spans="1:16" x14ac:dyDescent="0.25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</row>
    <row r="1760" spans="1:16" x14ac:dyDescent="0.25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</row>
    <row r="1761" spans="1:16" x14ac:dyDescent="0.25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</row>
    <row r="1762" spans="1:16" x14ac:dyDescent="0.25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</row>
    <row r="1763" spans="1:16" x14ac:dyDescent="0.25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</row>
    <row r="1764" spans="1:16" x14ac:dyDescent="0.25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</row>
    <row r="1765" spans="1:16" x14ac:dyDescent="0.25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</row>
    <row r="1766" spans="1:16" x14ac:dyDescent="0.25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</row>
    <row r="1767" spans="1:16" x14ac:dyDescent="0.25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</row>
    <row r="1768" spans="1:16" x14ac:dyDescent="0.25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</row>
    <row r="1769" spans="1:16" x14ac:dyDescent="0.25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</row>
    <row r="1770" spans="1:16" x14ac:dyDescent="0.25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</row>
    <row r="1771" spans="1:16" x14ac:dyDescent="0.25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</row>
    <row r="1772" spans="1:16" x14ac:dyDescent="0.25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</row>
    <row r="1773" spans="1:16" x14ac:dyDescent="0.25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</row>
    <row r="1774" spans="1:16" x14ac:dyDescent="0.25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</row>
    <row r="1775" spans="1:16" x14ac:dyDescent="0.25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</row>
    <row r="1776" spans="1:16" x14ac:dyDescent="0.25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</row>
    <row r="1777" spans="1:16" x14ac:dyDescent="0.25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</row>
    <row r="1778" spans="1:16" x14ac:dyDescent="0.25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</row>
    <row r="1779" spans="1:16" x14ac:dyDescent="0.25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</row>
    <row r="1780" spans="1:16" x14ac:dyDescent="0.25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</row>
    <row r="1781" spans="1:16" x14ac:dyDescent="0.25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</row>
    <row r="1782" spans="1:16" x14ac:dyDescent="0.25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</row>
    <row r="1783" spans="1:16" x14ac:dyDescent="0.25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</row>
    <row r="1784" spans="1:16" x14ac:dyDescent="0.25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</row>
    <row r="1785" spans="1:16" x14ac:dyDescent="0.25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</row>
    <row r="1786" spans="1:16" x14ac:dyDescent="0.25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</row>
    <row r="1787" spans="1:16" x14ac:dyDescent="0.25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</row>
    <row r="1788" spans="1:16" x14ac:dyDescent="0.25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</row>
    <row r="1789" spans="1:16" x14ac:dyDescent="0.25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</row>
    <row r="1790" spans="1:16" x14ac:dyDescent="0.25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</row>
    <row r="1791" spans="1:16" x14ac:dyDescent="0.25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</row>
    <row r="1792" spans="1:16" x14ac:dyDescent="0.25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</row>
    <row r="1793" spans="1:16" x14ac:dyDescent="0.25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</row>
    <row r="1794" spans="1:16" x14ac:dyDescent="0.25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</row>
    <row r="1795" spans="1:16" x14ac:dyDescent="0.25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</row>
    <row r="1796" spans="1:16" x14ac:dyDescent="0.25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</row>
    <row r="1797" spans="1:16" x14ac:dyDescent="0.25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</row>
    <row r="1798" spans="1:16" x14ac:dyDescent="0.25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</row>
    <row r="1799" spans="1:16" x14ac:dyDescent="0.25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</row>
    <row r="1800" spans="1:16" x14ac:dyDescent="0.25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</row>
    <row r="1801" spans="1:16" x14ac:dyDescent="0.25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</row>
    <row r="1802" spans="1:16" x14ac:dyDescent="0.25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</row>
    <row r="1803" spans="1:16" x14ac:dyDescent="0.25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</row>
    <row r="1804" spans="1:16" x14ac:dyDescent="0.25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</row>
    <row r="1805" spans="1:16" x14ac:dyDescent="0.25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</row>
    <row r="1806" spans="1:16" x14ac:dyDescent="0.25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</row>
    <row r="1807" spans="1:16" x14ac:dyDescent="0.25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</row>
    <row r="1808" spans="1:16" x14ac:dyDescent="0.25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</row>
    <row r="1809" spans="1:16" x14ac:dyDescent="0.25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</row>
    <row r="1810" spans="1:16" x14ac:dyDescent="0.25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</row>
    <row r="1811" spans="1:16" x14ac:dyDescent="0.25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</row>
    <row r="1812" spans="1:16" x14ac:dyDescent="0.25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</row>
    <row r="1813" spans="1:16" x14ac:dyDescent="0.25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</row>
    <row r="1814" spans="1:16" x14ac:dyDescent="0.25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</row>
    <row r="1815" spans="1:16" x14ac:dyDescent="0.25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</row>
    <row r="1816" spans="1:16" x14ac:dyDescent="0.25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</row>
    <row r="1817" spans="1:16" x14ac:dyDescent="0.25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</row>
    <row r="1818" spans="1:16" x14ac:dyDescent="0.25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</row>
    <row r="1819" spans="1:16" x14ac:dyDescent="0.25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</row>
    <row r="1820" spans="1:16" x14ac:dyDescent="0.25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</row>
    <row r="1821" spans="1:16" x14ac:dyDescent="0.25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</row>
    <row r="1822" spans="1:16" x14ac:dyDescent="0.25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</row>
    <row r="1823" spans="1:16" x14ac:dyDescent="0.25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</row>
    <row r="1824" spans="1:16" x14ac:dyDescent="0.25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</row>
    <row r="1825" spans="1:16" x14ac:dyDescent="0.25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</row>
    <row r="1826" spans="1:16" x14ac:dyDescent="0.25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</row>
    <row r="1827" spans="1:16" x14ac:dyDescent="0.25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</row>
    <row r="1828" spans="1:16" x14ac:dyDescent="0.25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</row>
    <row r="1829" spans="1:16" x14ac:dyDescent="0.25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</row>
    <row r="1830" spans="1:16" x14ac:dyDescent="0.25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</row>
    <row r="1831" spans="1:16" x14ac:dyDescent="0.25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</row>
    <row r="1832" spans="1:16" x14ac:dyDescent="0.25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</row>
    <row r="1833" spans="1:16" x14ac:dyDescent="0.25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</row>
    <row r="1834" spans="1:16" x14ac:dyDescent="0.25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</row>
    <row r="1835" spans="1:16" x14ac:dyDescent="0.25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</row>
    <row r="1836" spans="1:16" x14ac:dyDescent="0.25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</row>
    <row r="1837" spans="1:16" x14ac:dyDescent="0.25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</row>
    <row r="1838" spans="1:16" x14ac:dyDescent="0.25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</row>
    <row r="1839" spans="1:16" x14ac:dyDescent="0.25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</row>
    <row r="1840" spans="1:16" x14ac:dyDescent="0.25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</row>
    <row r="1841" spans="1:16" x14ac:dyDescent="0.25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</row>
    <row r="1842" spans="1:16" x14ac:dyDescent="0.25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</row>
    <row r="1843" spans="1:16" x14ac:dyDescent="0.25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</row>
    <row r="1844" spans="1:16" x14ac:dyDescent="0.25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</row>
    <row r="1845" spans="1:16" x14ac:dyDescent="0.25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</row>
    <row r="1846" spans="1:16" x14ac:dyDescent="0.25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</row>
    <row r="1847" spans="1:16" x14ac:dyDescent="0.25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</row>
    <row r="1848" spans="1:16" x14ac:dyDescent="0.25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</row>
    <row r="1849" spans="1:16" x14ac:dyDescent="0.25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</row>
    <row r="1850" spans="1:16" x14ac:dyDescent="0.25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</row>
    <row r="1851" spans="1:16" x14ac:dyDescent="0.25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</row>
    <row r="1852" spans="1:16" x14ac:dyDescent="0.25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</row>
    <row r="1853" spans="1:16" x14ac:dyDescent="0.25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</row>
    <row r="1854" spans="1:16" x14ac:dyDescent="0.25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</row>
    <row r="1855" spans="1:16" x14ac:dyDescent="0.25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</row>
    <row r="1856" spans="1:16" x14ac:dyDescent="0.25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</row>
    <row r="1857" spans="1:16" x14ac:dyDescent="0.25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</row>
    <row r="1858" spans="1:16" x14ac:dyDescent="0.25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</row>
    <row r="1859" spans="1:16" x14ac:dyDescent="0.25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</row>
    <row r="1860" spans="1:16" x14ac:dyDescent="0.25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</row>
    <row r="1861" spans="1:16" x14ac:dyDescent="0.25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</row>
    <row r="1862" spans="1:16" x14ac:dyDescent="0.25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</row>
    <row r="1863" spans="1:16" x14ac:dyDescent="0.25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</row>
    <row r="1864" spans="1:16" x14ac:dyDescent="0.25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</row>
    <row r="1865" spans="1:16" x14ac:dyDescent="0.25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</row>
    <row r="1866" spans="1:16" x14ac:dyDescent="0.25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</row>
    <row r="1867" spans="1:16" x14ac:dyDescent="0.25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</row>
    <row r="1868" spans="1:16" x14ac:dyDescent="0.25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</row>
    <row r="1869" spans="1:16" x14ac:dyDescent="0.25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</row>
    <row r="1870" spans="1:16" x14ac:dyDescent="0.25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</row>
    <row r="1871" spans="1:16" x14ac:dyDescent="0.25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</row>
    <row r="1872" spans="1:16" x14ac:dyDescent="0.25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</row>
    <row r="1873" spans="1:16" x14ac:dyDescent="0.25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</row>
    <row r="1874" spans="1:16" x14ac:dyDescent="0.25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</row>
    <row r="1875" spans="1:16" x14ac:dyDescent="0.25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</row>
    <row r="1876" spans="1:16" x14ac:dyDescent="0.25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</row>
    <row r="1877" spans="1:16" x14ac:dyDescent="0.25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</row>
    <row r="1878" spans="1:16" x14ac:dyDescent="0.25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</row>
    <row r="1879" spans="1:16" x14ac:dyDescent="0.25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</row>
    <row r="1880" spans="1:16" x14ac:dyDescent="0.25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</row>
    <row r="1881" spans="1:16" x14ac:dyDescent="0.25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</row>
    <row r="1882" spans="1:16" x14ac:dyDescent="0.25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</row>
    <row r="1883" spans="1:16" x14ac:dyDescent="0.25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</row>
    <row r="1884" spans="1:16" x14ac:dyDescent="0.25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</row>
    <row r="1885" spans="1:16" x14ac:dyDescent="0.25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</row>
    <row r="1886" spans="1:16" x14ac:dyDescent="0.25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</row>
    <row r="1887" spans="1:16" x14ac:dyDescent="0.25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</row>
    <row r="1888" spans="1:16" x14ac:dyDescent="0.25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</row>
    <row r="1889" spans="1:16" x14ac:dyDescent="0.25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</row>
    <row r="1890" spans="1:16" x14ac:dyDescent="0.25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</row>
    <row r="1891" spans="1:16" x14ac:dyDescent="0.25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</row>
    <row r="1892" spans="1:16" x14ac:dyDescent="0.25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</row>
    <row r="1893" spans="1:16" x14ac:dyDescent="0.25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</row>
    <row r="1894" spans="1:16" x14ac:dyDescent="0.25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</row>
    <row r="1895" spans="1:16" x14ac:dyDescent="0.25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</row>
    <row r="1896" spans="1:16" x14ac:dyDescent="0.25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</row>
    <row r="1897" spans="1:16" x14ac:dyDescent="0.25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</row>
    <row r="1898" spans="1:16" x14ac:dyDescent="0.25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</row>
    <row r="1899" spans="1:16" x14ac:dyDescent="0.25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</row>
    <row r="1900" spans="1:16" x14ac:dyDescent="0.25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</row>
    <row r="1901" spans="1:16" x14ac:dyDescent="0.25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</row>
    <row r="1902" spans="1:16" x14ac:dyDescent="0.25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</row>
    <row r="1903" spans="1:16" x14ac:dyDescent="0.25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</row>
    <row r="1904" spans="1:16" x14ac:dyDescent="0.25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</row>
    <row r="1905" spans="1:16" x14ac:dyDescent="0.25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</row>
    <row r="1906" spans="1:16" x14ac:dyDescent="0.25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</row>
    <row r="1907" spans="1:16" x14ac:dyDescent="0.25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</row>
    <row r="1908" spans="1:16" x14ac:dyDescent="0.25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</row>
    <row r="1909" spans="1:16" x14ac:dyDescent="0.25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</row>
    <row r="1910" spans="1:16" x14ac:dyDescent="0.25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</row>
    <row r="1911" spans="1:16" x14ac:dyDescent="0.25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</row>
    <row r="1912" spans="1:16" x14ac:dyDescent="0.25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</row>
    <row r="1913" spans="1:16" x14ac:dyDescent="0.25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</row>
    <row r="1914" spans="1:16" x14ac:dyDescent="0.25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</row>
    <row r="1915" spans="1:16" x14ac:dyDescent="0.25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</row>
    <row r="1916" spans="1:16" x14ac:dyDescent="0.25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</row>
    <row r="1917" spans="1:16" x14ac:dyDescent="0.25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</row>
    <row r="1918" spans="1:16" x14ac:dyDescent="0.25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</row>
    <row r="1919" spans="1:16" x14ac:dyDescent="0.25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</row>
    <row r="1920" spans="1:16" x14ac:dyDescent="0.25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</row>
    <row r="1921" spans="1:16" x14ac:dyDescent="0.25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</row>
    <row r="1922" spans="1:16" x14ac:dyDescent="0.25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</row>
    <row r="1923" spans="1:16" x14ac:dyDescent="0.25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</row>
    <row r="1924" spans="1:16" x14ac:dyDescent="0.25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</row>
    <row r="1925" spans="1:16" x14ac:dyDescent="0.25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</row>
    <row r="1926" spans="1:16" x14ac:dyDescent="0.25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</row>
    <row r="1927" spans="1:16" x14ac:dyDescent="0.25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</row>
    <row r="1928" spans="1:16" x14ac:dyDescent="0.25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</row>
    <row r="1929" spans="1:16" x14ac:dyDescent="0.25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</row>
    <row r="1930" spans="1:16" x14ac:dyDescent="0.25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</row>
    <row r="1931" spans="1:16" x14ac:dyDescent="0.25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</row>
    <row r="1932" spans="1:16" x14ac:dyDescent="0.25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</row>
    <row r="1933" spans="1:16" x14ac:dyDescent="0.25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</row>
    <row r="1934" spans="1:16" x14ac:dyDescent="0.25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</row>
    <row r="1935" spans="1:16" x14ac:dyDescent="0.25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</row>
    <row r="1936" spans="1:16" x14ac:dyDescent="0.25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</row>
    <row r="1937" spans="1:16" x14ac:dyDescent="0.25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</row>
    <row r="1938" spans="1:16" x14ac:dyDescent="0.25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</row>
    <row r="1939" spans="1:16" x14ac:dyDescent="0.25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</row>
    <row r="1940" spans="1:16" x14ac:dyDescent="0.25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</row>
    <row r="1941" spans="1:16" x14ac:dyDescent="0.25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</row>
    <row r="1942" spans="1:16" x14ac:dyDescent="0.25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</row>
    <row r="1943" spans="1:16" x14ac:dyDescent="0.25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</row>
    <row r="1944" spans="1:16" x14ac:dyDescent="0.25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</row>
    <row r="1945" spans="1:16" x14ac:dyDescent="0.25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</row>
    <row r="1946" spans="1:16" x14ac:dyDescent="0.25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</row>
    <row r="1947" spans="1:16" x14ac:dyDescent="0.25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</row>
    <row r="1948" spans="1:16" x14ac:dyDescent="0.25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</row>
    <row r="1949" spans="1:16" x14ac:dyDescent="0.25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</row>
    <row r="1950" spans="1:16" x14ac:dyDescent="0.25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</row>
    <row r="1951" spans="1:16" x14ac:dyDescent="0.25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</row>
    <row r="1952" spans="1:16" x14ac:dyDescent="0.25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</row>
    <row r="1953" spans="1:16" x14ac:dyDescent="0.25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</row>
    <row r="1954" spans="1:16" x14ac:dyDescent="0.25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</row>
    <row r="1955" spans="1:16" x14ac:dyDescent="0.25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</row>
    <row r="1956" spans="1:16" x14ac:dyDescent="0.25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</row>
    <row r="1957" spans="1:16" x14ac:dyDescent="0.25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</row>
    <row r="1958" spans="1:16" x14ac:dyDescent="0.25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</row>
    <row r="1959" spans="1:16" x14ac:dyDescent="0.25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</row>
    <row r="1960" spans="1:16" x14ac:dyDescent="0.25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</row>
    <row r="1961" spans="1:16" x14ac:dyDescent="0.25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</row>
    <row r="1962" spans="1:16" x14ac:dyDescent="0.25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</row>
    <row r="1963" spans="1:16" x14ac:dyDescent="0.25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</row>
    <row r="1964" spans="1:16" x14ac:dyDescent="0.25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</row>
    <row r="1965" spans="1:16" x14ac:dyDescent="0.25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</row>
    <row r="1966" spans="1:16" x14ac:dyDescent="0.25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</row>
    <row r="1967" spans="1:16" x14ac:dyDescent="0.25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</row>
    <row r="1968" spans="1:16" x14ac:dyDescent="0.25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</row>
    <row r="1969" spans="1:16" x14ac:dyDescent="0.25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</row>
    <row r="1970" spans="1:16" x14ac:dyDescent="0.25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</row>
    <row r="1971" spans="1:16" x14ac:dyDescent="0.25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</row>
    <row r="1972" spans="1:16" x14ac:dyDescent="0.25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</row>
    <row r="1973" spans="1:16" x14ac:dyDescent="0.25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</row>
    <row r="1974" spans="1:16" x14ac:dyDescent="0.25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</row>
    <row r="1975" spans="1:16" x14ac:dyDescent="0.25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</row>
    <row r="1976" spans="1:16" x14ac:dyDescent="0.25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</row>
    <row r="1977" spans="1:16" x14ac:dyDescent="0.25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</row>
    <row r="1978" spans="1:16" x14ac:dyDescent="0.25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</row>
    <row r="1979" spans="1:16" x14ac:dyDescent="0.25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</row>
    <row r="1980" spans="1:16" x14ac:dyDescent="0.25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</row>
    <row r="1981" spans="1:16" x14ac:dyDescent="0.25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</row>
    <row r="1982" spans="1:16" x14ac:dyDescent="0.25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</row>
    <row r="1983" spans="1:16" x14ac:dyDescent="0.25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</row>
    <row r="1984" spans="1:16" x14ac:dyDescent="0.25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</row>
    <row r="1985" spans="1:16" x14ac:dyDescent="0.25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</row>
    <row r="1986" spans="1:16" x14ac:dyDescent="0.25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</row>
    <row r="1987" spans="1:16" x14ac:dyDescent="0.25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</row>
    <row r="1988" spans="1:16" x14ac:dyDescent="0.25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</row>
    <row r="1989" spans="1:16" x14ac:dyDescent="0.25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</row>
    <row r="1990" spans="1:16" x14ac:dyDescent="0.25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</row>
    <row r="1991" spans="1:16" x14ac:dyDescent="0.25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</row>
    <row r="1992" spans="1:16" x14ac:dyDescent="0.25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</row>
    <row r="1993" spans="1:16" x14ac:dyDescent="0.25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</row>
    <row r="1994" spans="1:16" x14ac:dyDescent="0.25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</row>
    <row r="1995" spans="1:16" x14ac:dyDescent="0.25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</row>
    <row r="1996" spans="1:16" x14ac:dyDescent="0.25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</row>
    <row r="1997" spans="1:16" x14ac:dyDescent="0.25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</row>
    <row r="1998" spans="1:16" x14ac:dyDescent="0.25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</row>
    <row r="1999" spans="1:16" x14ac:dyDescent="0.25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</row>
    <row r="2000" spans="1:16" x14ac:dyDescent="0.25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</row>
    <row r="2001" spans="1:16" x14ac:dyDescent="0.25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</row>
    <row r="2002" spans="1:16" x14ac:dyDescent="0.25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</row>
    <row r="2003" spans="1:16" x14ac:dyDescent="0.25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</row>
    <row r="2004" spans="1:16" x14ac:dyDescent="0.25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</row>
    <row r="2005" spans="1:16" x14ac:dyDescent="0.25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</row>
    <row r="2006" spans="1:16" x14ac:dyDescent="0.25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</row>
    <row r="2007" spans="1:16" x14ac:dyDescent="0.25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</row>
    <row r="2008" spans="1:16" x14ac:dyDescent="0.25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</row>
    <row r="2009" spans="1:16" x14ac:dyDescent="0.25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</row>
    <row r="2010" spans="1:16" x14ac:dyDescent="0.25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</row>
    <row r="2011" spans="1:16" x14ac:dyDescent="0.25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</row>
    <row r="2012" spans="1:16" x14ac:dyDescent="0.25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</row>
    <row r="2013" spans="1:16" x14ac:dyDescent="0.25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</row>
    <row r="2014" spans="1:16" x14ac:dyDescent="0.25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</row>
    <row r="2015" spans="1:16" x14ac:dyDescent="0.25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</row>
    <row r="2016" spans="1:16" x14ac:dyDescent="0.25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</row>
    <row r="2017" spans="1:16" x14ac:dyDescent="0.25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</row>
    <row r="2018" spans="1:16" x14ac:dyDescent="0.25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</row>
    <row r="2019" spans="1:16" x14ac:dyDescent="0.25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</row>
    <row r="2020" spans="1:16" x14ac:dyDescent="0.25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</row>
    <row r="2021" spans="1:16" x14ac:dyDescent="0.25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</row>
    <row r="2022" spans="1:16" x14ac:dyDescent="0.25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</row>
    <row r="2023" spans="1:16" x14ac:dyDescent="0.25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</row>
    <row r="2024" spans="1:16" x14ac:dyDescent="0.25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</row>
    <row r="2025" spans="1:16" x14ac:dyDescent="0.25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</row>
    <row r="2026" spans="1:16" x14ac:dyDescent="0.25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</row>
    <row r="2027" spans="1:16" x14ac:dyDescent="0.25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</row>
    <row r="2028" spans="1:16" x14ac:dyDescent="0.25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</row>
    <row r="2029" spans="1:16" x14ac:dyDescent="0.25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</row>
    <row r="2030" spans="1:16" x14ac:dyDescent="0.25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</row>
    <row r="2031" spans="1:16" x14ac:dyDescent="0.25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</row>
    <row r="2032" spans="1:16" x14ac:dyDescent="0.25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</row>
    <row r="2033" spans="1:16" x14ac:dyDescent="0.25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</row>
    <row r="2034" spans="1:16" x14ac:dyDescent="0.25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</row>
    <row r="2035" spans="1:16" x14ac:dyDescent="0.25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</row>
    <row r="2036" spans="1:16" x14ac:dyDescent="0.25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</row>
    <row r="2037" spans="1:16" x14ac:dyDescent="0.25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</row>
    <row r="2038" spans="1:16" x14ac:dyDescent="0.25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</row>
    <row r="2039" spans="1:16" x14ac:dyDescent="0.25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</row>
    <row r="2040" spans="1:16" x14ac:dyDescent="0.25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</row>
    <row r="2041" spans="1:16" x14ac:dyDescent="0.25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</row>
    <row r="2042" spans="1:16" x14ac:dyDescent="0.25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</row>
    <row r="2043" spans="1:16" x14ac:dyDescent="0.25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</row>
    <row r="2044" spans="1:16" x14ac:dyDescent="0.25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</row>
    <row r="2045" spans="1:16" x14ac:dyDescent="0.25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</row>
    <row r="2046" spans="1:16" x14ac:dyDescent="0.25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</row>
    <row r="2047" spans="1:16" x14ac:dyDescent="0.25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</row>
    <row r="2048" spans="1:16" x14ac:dyDescent="0.25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</row>
    <row r="2049" spans="1:16" x14ac:dyDescent="0.25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</row>
    <row r="2050" spans="1:16" x14ac:dyDescent="0.25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</row>
    <row r="2051" spans="1:16" x14ac:dyDescent="0.25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</row>
    <row r="2052" spans="1:16" x14ac:dyDescent="0.25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</row>
    <row r="2053" spans="1:16" x14ac:dyDescent="0.25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</row>
    <row r="2054" spans="1:16" x14ac:dyDescent="0.25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</row>
    <row r="2055" spans="1:16" x14ac:dyDescent="0.25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</row>
    <row r="2056" spans="1:16" x14ac:dyDescent="0.25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</row>
    <row r="2057" spans="1:16" x14ac:dyDescent="0.25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</row>
    <row r="2058" spans="1:16" x14ac:dyDescent="0.25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</row>
    <row r="2059" spans="1:16" x14ac:dyDescent="0.25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</row>
    <row r="2060" spans="1:16" x14ac:dyDescent="0.25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</row>
    <row r="2061" spans="1:16" x14ac:dyDescent="0.25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</row>
    <row r="2062" spans="1:16" x14ac:dyDescent="0.25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</row>
    <row r="2063" spans="1:16" x14ac:dyDescent="0.25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</row>
    <row r="2064" spans="1:16" x14ac:dyDescent="0.25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</row>
    <row r="2065" spans="1:16" x14ac:dyDescent="0.25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</row>
    <row r="2066" spans="1:16" x14ac:dyDescent="0.25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</row>
    <row r="2067" spans="1:16" x14ac:dyDescent="0.25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</row>
    <row r="2068" spans="1:16" x14ac:dyDescent="0.25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</row>
    <row r="2069" spans="1:16" x14ac:dyDescent="0.25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</row>
    <row r="2070" spans="1:16" x14ac:dyDescent="0.25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</row>
    <row r="2071" spans="1:16" x14ac:dyDescent="0.25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</row>
    <row r="2072" spans="1:16" x14ac:dyDescent="0.25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</row>
    <row r="2073" spans="1:16" x14ac:dyDescent="0.25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</row>
    <row r="2074" spans="1:16" x14ac:dyDescent="0.25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</row>
    <row r="2075" spans="1:16" x14ac:dyDescent="0.25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</row>
    <row r="2076" spans="1:16" x14ac:dyDescent="0.25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</row>
    <row r="2077" spans="1:16" x14ac:dyDescent="0.25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</row>
    <row r="2078" spans="1:16" x14ac:dyDescent="0.25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</row>
    <row r="2079" spans="1:16" x14ac:dyDescent="0.25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</row>
    <row r="2080" spans="1:16" x14ac:dyDescent="0.25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</row>
    <row r="2081" spans="1:16" x14ac:dyDescent="0.25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</row>
    <row r="2082" spans="1:16" x14ac:dyDescent="0.25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</row>
    <row r="2083" spans="1:16" x14ac:dyDescent="0.25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</row>
    <row r="2084" spans="1:16" x14ac:dyDescent="0.25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</row>
    <row r="2085" spans="1:16" x14ac:dyDescent="0.25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</row>
    <row r="2086" spans="1:16" x14ac:dyDescent="0.25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</row>
    <row r="2087" spans="1:16" x14ac:dyDescent="0.25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</row>
    <row r="2088" spans="1:16" x14ac:dyDescent="0.25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</row>
    <row r="2089" spans="1:16" x14ac:dyDescent="0.25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</row>
    <row r="2090" spans="1:16" x14ac:dyDescent="0.25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</row>
    <row r="2091" spans="1:16" x14ac:dyDescent="0.25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</row>
    <row r="2092" spans="1:16" x14ac:dyDescent="0.25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</row>
    <row r="2093" spans="1:16" x14ac:dyDescent="0.25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</row>
    <row r="2094" spans="1:16" x14ac:dyDescent="0.25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</row>
    <row r="2095" spans="1:16" x14ac:dyDescent="0.25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</row>
    <row r="2096" spans="1:16" x14ac:dyDescent="0.25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</row>
    <row r="2097" spans="1:16" x14ac:dyDescent="0.25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</row>
    <row r="2098" spans="1:16" x14ac:dyDescent="0.25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</row>
    <row r="2099" spans="1:16" x14ac:dyDescent="0.25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</row>
    <row r="2100" spans="1:16" x14ac:dyDescent="0.25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</row>
    <row r="2101" spans="1:16" x14ac:dyDescent="0.25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</row>
    <row r="2102" spans="1:16" x14ac:dyDescent="0.25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</row>
    <row r="2103" spans="1:16" x14ac:dyDescent="0.25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</row>
    <row r="2104" spans="1:16" x14ac:dyDescent="0.25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</row>
    <row r="2105" spans="1:16" x14ac:dyDescent="0.25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</row>
    <row r="2106" spans="1:16" x14ac:dyDescent="0.25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</row>
    <row r="2107" spans="1:16" x14ac:dyDescent="0.25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</row>
    <row r="2108" spans="1:16" x14ac:dyDescent="0.25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</row>
    <row r="2109" spans="1:16" x14ac:dyDescent="0.25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</row>
    <row r="2110" spans="1:16" x14ac:dyDescent="0.25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</row>
    <row r="2111" spans="1:16" x14ac:dyDescent="0.25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</row>
    <row r="2112" spans="1:16" x14ac:dyDescent="0.25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</row>
    <row r="2113" spans="1:16" x14ac:dyDescent="0.25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</row>
    <row r="2114" spans="1:16" x14ac:dyDescent="0.25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</row>
    <row r="2115" spans="1:16" x14ac:dyDescent="0.25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</row>
    <row r="2116" spans="1:16" x14ac:dyDescent="0.25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</row>
    <row r="2117" spans="1:16" x14ac:dyDescent="0.25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</row>
    <row r="2118" spans="1:16" x14ac:dyDescent="0.25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</row>
    <row r="2119" spans="1:16" x14ac:dyDescent="0.25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</row>
    <row r="2120" spans="1:16" x14ac:dyDescent="0.25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</row>
    <row r="2121" spans="1:16" x14ac:dyDescent="0.25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</row>
    <row r="2122" spans="1:16" x14ac:dyDescent="0.25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</row>
    <row r="2123" spans="1:16" x14ac:dyDescent="0.25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</row>
    <row r="2124" spans="1:16" x14ac:dyDescent="0.25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</row>
    <row r="2125" spans="1:16" x14ac:dyDescent="0.25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</row>
    <row r="2126" spans="1:16" x14ac:dyDescent="0.25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</row>
    <row r="2127" spans="1:16" x14ac:dyDescent="0.25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</row>
    <row r="2128" spans="1:16" x14ac:dyDescent="0.25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</row>
    <row r="2129" spans="1:16" x14ac:dyDescent="0.25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</row>
    <row r="2130" spans="1:16" x14ac:dyDescent="0.25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</row>
    <row r="2131" spans="1:16" x14ac:dyDescent="0.25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</row>
    <row r="2132" spans="1:16" x14ac:dyDescent="0.25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</row>
    <row r="2133" spans="1:16" x14ac:dyDescent="0.25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</row>
    <row r="2134" spans="1:16" x14ac:dyDescent="0.25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</row>
    <row r="2135" spans="1:16" x14ac:dyDescent="0.25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</row>
    <row r="2136" spans="1:16" x14ac:dyDescent="0.25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</row>
    <row r="2137" spans="1:16" x14ac:dyDescent="0.25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</row>
    <row r="2138" spans="1:16" x14ac:dyDescent="0.25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</row>
    <row r="2139" spans="1:16" x14ac:dyDescent="0.25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</row>
    <row r="2140" spans="1:16" x14ac:dyDescent="0.25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</row>
    <row r="2141" spans="1:16" x14ac:dyDescent="0.25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</row>
    <row r="2142" spans="1:16" x14ac:dyDescent="0.25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</row>
    <row r="2143" spans="1:16" x14ac:dyDescent="0.25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</row>
    <row r="2144" spans="1:16" x14ac:dyDescent="0.25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</row>
    <row r="2145" spans="1:16" x14ac:dyDescent="0.25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</row>
    <row r="2146" spans="1:16" x14ac:dyDescent="0.25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</row>
    <row r="2147" spans="1:16" x14ac:dyDescent="0.25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</row>
    <row r="2148" spans="1:16" x14ac:dyDescent="0.25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5"/>
      <c r="N2148" s="15"/>
      <c r="O2148" s="15"/>
      <c r="P2148" s="15"/>
    </row>
    <row r="2149" spans="1:16" x14ac:dyDescent="0.25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5"/>
      <c r="N2149" s="15"/>
      <c r="O2149" s="15"/>
      <c r="P2149" s="15"/>
    </row>
    <row r="2150" spans="1:16" x14ac:dyDescent="0.25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5"/>
      <c r="N2150" s="15"/>
      <c r="O2150" s="15"/>
      <c r="P2150" s="15"/>
    </row>
    <row r="2151" spans="1:16" x14ac:dyDescent="0.25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15"/>
    </row>
    <row r="2152" spans="1:16" x14ac:dyDescent="0.25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15"/>
    </row>
    <row r="2153" spans="1:16" x14ac:dyDescent="0.25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15"/>
    </row>
    <row r="2154" spans="1:16" x14ac:dyDescent="0.25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15"/>
    </row>
    <row r="2155" spans="1:16" x14ac:dyDescent="0.25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5"/>
      <c r="N2155" s="15"/>
      <c r="O2155" s="15"/>
      <c r="P2155" s="15"/>
    </row>
    <row r="2156" spans="1:16" x14ac:dyDescent="0.25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5"/>
      <c r="N2156" s="15"/>
      <c r="O2156" s="15"/>
      <c r="P2156" s="15"/>
    </row>
    <row r="2157" spans="1:16" x14ac:dyDescent="0.25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5"/>
      <c r="N2157" s="15"/>
      <c r="O2157" s="15"/>
      <c r="P2157" s="15"/>
    </row>
    <row r="2158" spans="1:16" x14ac:dyDescent="0.25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15"/>
    </row>
    <row r="2159" spans="1:16" x14ac:dyDescent="0.25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15"/>
    </row>
    <row r="2160" spans="1:16" x14ac:dyDescent="0.25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15"/>
    </row>
    <row r="2161" spans="1:16" x14ac:dyDescent="0.25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15"/>
    </row>
    <row r="2162" spans="1:16" x14ac:dyDescent="0.25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5"/>
      <c r="N2162" s="15"/>
      <c r="O2162" s="15"/>
      <c r="P2162" s="15"/>
    </row>
    <row r="2163" spans="1:16" x14ac:dyDescent="0.25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5"/>
      <c r="N2163" s="15"/>
      <c r="O2163" s="15"/>
      <c r="P2163" s="15"/>
    </row>
    <row r="2164" spans="1:16" x14ac:dyDescent="0.25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5"/>
      <c r="N2164" s="15"/>
      <c r="O2164" s="15"/>
      <c r="P2164" s="15"/>
    </row>
    <row r="2165" spans="1:16" x14ac:dyDescent="0.25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15"/>
    </row>
    <row r="2166" spans="1:16" x14ac:dyDescent="0.25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15"/>
    </row>
    <row r="2167" spans="1:16" x14ac:dyDescent="0.25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15"/>
    </row>
    <row r="2168" spans="1:16" x14ac:dyDescent="0.25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15"/>
    </row>
    <row r="2169" spans="1:16" x14ac:dyDescent="0.25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5"/>
      <c r="N2169" s="15"/>
      <c r="O2169" s="15"/>
      <c r="P2169" s="15"/>
    </row>
    <row r="2170" spans="1:16" x14ac:dyDescent="0.25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5"/>
      <c r="N2170" s="15"/>
      <c r="O2170" s="15"/>
      <c r="P2170" s="15"/>
    </row>
    <row r="2171" spans="1:16" x14ac:dyDescent="0.25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5"/>
      <c r="N2171" s="15"/>
      <c r="O2171" s="15"/>
      <c r="P2171" s="15"/>
    </row>
    <row r="2172" spans="1:16" x14ac:dyDescent="0.25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15"/>
    </row>
    <row r="2173" spans="1:16" x14ac:dyDescent="0.25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15"/>
    </row>
    <row r="2174" spans="1:16" x14ac:dyDescent="0.25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15"/>
    </row>
    <row r="2175" spans="1:16" x14ac:dyDescent="0.25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15"/>
    </row>
    <row r="2176" spans="1:16" x14ac:dyDescent="0.25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5"/>
      <c r="N2176" s="15"/>
      <c r="O2176" s="15"/>
      <c r="P2176" s="15"/>
    </row>
    <row r="2177" spans="1:16" x14ac:dyDescent="0.25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5"/>
      <c r="N2177" s="15"/>
      <c r="O2177" s="15"/>
      <c r="P2177" s="15"/>
    </row>
    <row r="2178" spans="1:16" x14ac:dyDescent="0.25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5"/>
      <c r="N2178" s="15"/>
      <c r="O2178" s="15"/>
      <c r="P2178" s="15"/>
    </row>
    <row r="2179" spans="1:16" x14ac:dyDescent="0.25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15"/>
    </row>
    <row r="2180" spans="1:16" x14ac:dyDescent="0.25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15"/>
    </row>
    <row r="2181" spans="1:16" x14ac:dyDescent="0.25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15"/>
    </row>
    <row r="2182" spans="1:16" x14ac:dyDescent="0.25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15"/>
    </row>
    <row r="2183" spans="1:16" x14ac:dyDescent="0.25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5"/>
      <c r="N2183" s="15"/>
      <c r="O2183" s="15"/>
      <c r="P2183" s="15"/>
    </row>
    <row r="2184" spans="1:16" x14ac:dyDescent="0.25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5"/>
      <c r="N2184" s="15"/>
      <c r="O2184" s="15"/>
      <c r="P2184" s="15"/>
    </row>
    <row r="2185" spans="1:16" x14ac:dyDescent="0.25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5"/>
      <c r="N2185" s="15"/>
      <c r="O2185" s="15"/>
      <c r="P2185" s="15"/>
    </row>
    <row r="2186" spans="1:16" x14ac:dyDescent="0.25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15"/>
    </row>
    <row r="2187" spans="1:16" x14ac:dyDescent="0.25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15"/>
    </row>
    <row r="2188" spans="1:16" x14ac:dyDescent="0.25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15"/>
    </row>
    <row r="2189" spans="1:16" x14ac:dyDescent="0.25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15"/>
    </row>
    <row r="2190" spans="1:16" x14ac:dyDescent="0.25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5"/>
      <c r="N2190" s="15"/>
      <c r="O2190" s="15"/>
      <c r="P2190" s="15"/>
    </row>
    <row r="2191" spans="1:16" x14ac:dyDescent="0.25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5"/>
      <c r="N2191" s="15"/>
      <c r="O2191" s="15"/>
      <c r="P2191" s="15"/>
    </row>
    <row r="2192" spans="1:16" x14ac:dyDescent="0.25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5"/>
      <c r="N2192" s="15"/>
      <c r="O2192" s="15"/>
      <c r="P2192" s="15"/>
    </row>
    <row r="2193" spans="1:16" x14ac:dyDescent="0.25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15"/>
    </row>
    <row r="2194" spans="1:16" x14ac:dyDescent="0.25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15"/>
    </row>
    <row r="2195" spans="1:16" x14ac:dyDescent="0.25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15"/>
    </row>
    <row r="2196" spans="1:16" x14ac:dyDescent="0.25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15"/>
    </row>
    <row r="2197" spans="1:16" x14ac:dyDescent="0.25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5"/>
      <c r="N2197" s="15"/>
      <c r="O2197" s="15"/>
      <c r="P2197" s="15"/>
    </row>
    <row r="2198" spans="1:16" x14ac:dyDescent="0.25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5"/>
      <c r="N2198" s="15"/>
      <c r="O2198" s="15"/>
      <c r="P2198" s="15"/>
    </row>
    <row r="2199" spans="1:16" x14ac:dyDescent="0.25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5"/>
      <c r="N2199" s="15"/>
      <c r="O2199" s="15"/>
      <c r="P2199" s="15"/>
    </row>
    <row r="2200" spans="1:16" x14ac:dyDescent="0.25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15"/>
    </row>
    <row r="2201" spans="1:16" x14ac:dyDescent="0.25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15"/>
    </row>
    <row r="2202" spans="1:16" x14ac:dyDescent="0.25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15"/>
    </row>
    <row r="2203" spans="1:16" x14ac:dyDescent="0.25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15"/>
    </row>
    <row r="2204" spans="1:16" x14ac:dyDescent="0.25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5"/>
      <c r="N2204" s="15"/>
      <c r="O2204" s="15"/>
      <c r="P2204" s="15"/>
    </row>
    <row r="2205" spans="1:16" x14ac:dyDescent="0.25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5"/>
      <c r="N2205" s="15"/>
      <c r="O2205" s="15"/>
      <c r="P2205" s="15"/>
    </row>
    <row r="2206" spans="1:16" x14ac:dyDescent="0.25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5"/>
      <c r="N2206" s="15"/>
      <c r="O2206" s="15"/>
      <c r="P2206" s="15"/>
    </row>
    <row r="2207" spans="1:16" x14ac:dyDescent="0.25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15"/>
    </row>
    <row r="2208" spans="1:16" x14ac:dyDescent="0.25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15"/>
    </row>
    <row r="2209" spans="1:16" x14ac:dyDescent="0.25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15"/>
    </row>
    <row r="2210" spans="1:16" x14ac:dyDescent="0.25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15"/>
    </row>
    <row r="2211" spans="1:16" x14ac:dyDescent="0.25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5"/>
      <c r="N2211" s="15"/>
      <c r="O2211" s="15"/>
      <c r="P2211" s="15"/>
    </row>
    <row r="2212" spans="1:16" x14ac:dyDescent="0.25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5"/>
      <c r="N2212" s="15"/>
      <c r="O2212" s="15"/>
      <c r="P2212" s="15"/>
    </row>
    <row r="2213" spans="1:16" x14ac:dyDescent="0.25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5"/>
      <c r="N2213" s="15"/>
      <c r="O2213" s="15"/>
      <c r="P2213" s="15"/>
    </row>
    <row r="2214" spans="1:16" x14ac:dyDescent="0.25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15"/>
    </row>
    <row r="2215" spans="1:16" x14ac:dyDescent="0.25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15"/>
    </row>
    <row r="2216" spans="1:16" x14ac:dyDescent="0.25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15"/>
    </row>
    <row r="2217" spans="1:16" x14ac:dyDescent="0.25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15"/>
    </row>
    <row r="2218" spans="1:16" x14ac:dyDescent="0.25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5"/>
      <c r="N2218" s="15"/>
      <c r="O2218" s="15"/>
      <c r="P2218" s="15"/>
    </row>
    <row r="2219" spans="1:16" x14ac:dyDescent="0.25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5"/>
      <c r="N2219" s="15"/>
      <c r="O2219" s="15"/>
      <c r="P2219" s="15"/>
    </row>
    <row r="2220" spans="1:16" x14ac:dyDescent="0.25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5"/>
      <c r="N2220" s="15"/>
      <c r="O2220" s="15"/>
      <c r="P2220" s="15"/>
    </row>
    <row r="2221" spans="1:16" x14ac:dyDescent="0.25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15"/>
    </row>
    <row r="2222" spans="1:16" x14ac:dyDescent="0.25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15"/>
    </row>
    <row r="2223" spans="1:16" x14ac:dyDescent="0.25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15"/>
    </row>
    <row r="2224" spans="1:16" x14ac:dyDescent="0.25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15"/>
    </row>
    <row r="2225" spans="1:16" x14ac:dyDescent="0.25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5"/>
      <c r="N2225" s="15"/>
      <c r="O2225" s="15"/>
      <c r="P2225" s="15"/>
    </row>
    <row r="2226" spans="1:16" x14ac:dyDescent="0.25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5"/>
      <c r="N2226" s="15"/>
      <c r="O2226" s="15"/>
      <c r="P2226" s="15"/>
    </row>
    <row r="2227" spans="1:16" x14ac:dyDescent="0.25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5"/>
      <c r="N2227" s="15"/>
      <c r="O2227" s="15"/>
      <c r="P2227" s="15"/>
    </row>
    <row r="2228" spans="1:16" x14ac:dyDescent="0.25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15"/>
    </row>
    <row r="2229" spans="1:16" x14ac:dyDescent="0.25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15"/>
    </row>
    <row r="2230" spans="1:16" x14ac:dyDescent="0.25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15"/>
    </row>
    <row r="2231" spans="1:16" x14ac:dyDescent="0.25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15"/>
    </row>
    <row r="2232" spans="1:16" x14ac:dyDescent="0.25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5"/>
      <c r="N2232" s="15"/>
      <c r="O2232" s="15"/>
      <c r="P2232" s="15"/>
    </row>
    <row r="2233" spans="1:16" x14ac:dyDescent="0.25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5"/>
      <c r="N2233" s="15"/>
      <c r="O2233" s="15"/>
      <c r="P2233" s="15"/>
    </row>
    <row r="2234" spans="1:16" x14ac:dyDescent="0.25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5"/>
      <c r="N2234" s="15"/>
      <c r="O2234" s="15"/>
      <c r="P2234" s="15"/>
    </row>
    <row r="2235" spans="1:16" x14ac:dyDescent="0.25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15"/>
    </row>
    <row r="2236" spans="1:16" x14ac:dyDescent="0.25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15"/>
    </row>
    <row r="2237" spans="1:16" x14ac:dyDescent="0.25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15"/>
    </row>
    <row r="2238" spans="1:16" x14ac:dyDescent="0.25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15"/>
    </row>
    <row r="2239" spans="1:16" x14ac:dyDescent="0.25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5"/>
      <c r="N2239" s="15"/>
      <c r="O2239" s="15"/>
      <c r="P2239" s="15"/>
    </row>
    <row r="2240" spans="1:16" x14ac:dyDescent="0.25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5"/>
      <c r="N2240" s="15"/>
      <c r="O2240" s="15"/>
      <c r="P2240" s="15"/>
    </row>
    <row r="2241" spans="1:16" x14ac:dyDescent="0.25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5"/>
      <c r="N2241" s="15"/>
      <c r="O2241" s="15"/>
      <c r="P2241" s="15"/>
    </row>
    <row r="2242" spans="1:16" x14ac:dyDescent="0.25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15"/>
    </row>
    <row r="2243" spans="1:16" x14ac:dyDescent="0.25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15"/>
    </row>
    <row r="2244" spans="1:16" x14ac:dyDescent="0.25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15"/>
    </row>
    <row r="2245" spans="1:16" x14ac:dyDescent="0.25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15"/>
    </row>
    <row r="2246" spans="1:16" x14ac:dyDescent="0.25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5"/>
      <c r="N2246" s="15"/>
      <c r="O2246" s="15"/>
      <c r="P2246" s="15"/>
    </row>
    <row r="2247" spans="1:16" x14ac:dyDescent="0.25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5"/>
      <c r="N2247" s="15"/>
      <c r="O2247" s="15"/>
      <c r="P2247" s="15"/>
    </row>
    <row r="2248" spans="1:16" x14ac:dyDescent="0.25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5"/>
      <c r="N2248" s="15"/>
      <c r="O2248" s="15"/>
      <c r="P2248" s="15"/>
    </row>
    <row r="2249" spans="1:16" x14ac:dyDescent="0.25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15"/>
    </row>
    <row r="2250" spans="1:16" x14ac:dyDescent="0.25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15"/>
    </row>
    <row r="2251" spans="1:16" x14ac:dyDescent="0.25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15"/>
    </row>
    <row r="2252" spans="1:16" x14ac:dyDescent="0.25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15"/>
    </row>
    <row r="2253" spans="1:16" x14ac:dyDescent="0.25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5"/>
      <c r="N2253" s="15"/>
      <c r="O2253" s="15"/>
      <c r="P2253" s="15"/>
    </row>
    <row r="2254" spans="1:16" x14ac:dyDescent="0.25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5"/>
      <c r="N2254" s="15"/>
      <c r="O2254" s="15"/>
      <c r="P2254" s="15"/>
    </row>
    <row r="2255" spans="1:16" x14ac:dyDescent="0.25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5"/>
      <c r="N2255" s="15"/>
      <c r="O2255" s="15"/>
      <c r="P2255" s="15"/>
    </row>
    <row r="2256" spans="1:16" x14ac:dyDescent="0.25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15"/>
    </row>
    <row r="2257" spans="1:16" x14ac:dyDescent="0.25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15"/>
    </row>
    <row r="2258" spans="1:16" x14ac:dyDescent="0.25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15"/>
    </row>
    <row r="2259" spans="1:16" x14ac:dyDescent="0.25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15"/>
    </row>
    <row r="2260" spans="1:16" x14ac:dyDescent="0.25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5"/>
      <c r="N2260" s="15"/>
      <c r="O2260" s="15"/>
      <c r="P2260" s="15"/>
    </row>
    <row r="2261" spans="1:16" x14ac:dyDescent="0.25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5"/>
      <c r="N2261" s="15"/>
      <c r="O2261" s="15"/>
      <c r="P2261" s="15"/>
    </row>
    <row r="2262" spans="1:16" x14ac:dyDescent="0.25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5"/>
      <c r="N2262" s="15"/>
      <c r="O2262" s="15"/>
      <c r="P2262" s="15"/>
    </row>
    <row r="2263" spans="1:16" x14ac:dyDescent="0.25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15"/>
    </row>
    <row r="2264" spans="1:16" x14ac:dyDescent="0.25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15"/>
    </row>
    <row r="2265" spans="1:16" x14ac:dyDescent="0.25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15"/>
    </row>
    <row r="2266" spans="1:16" x14ac:dyDescent="0.25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15"/>
    </row>
    <row r="2267" spans="1:16" x14ac:dyDescent="0.25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5"/>
      <c r="N2267" s="15"/>
      <c r="O2267" s="15"/>
      <c r="P2267" s="15"/>
    </row>
    <row r="2268" spans="1:16" x14ac:dyDescent="0.25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5"/>
      <c r="N2268" s="15"/>
      <c r="O2268" s="15"/>
      <c r="P2268" s="15"/>
    </row>
    <row r="2269" spans="1:16" x14ac:dyDescent="0.25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5"/>
      <c r="N2269" s="15"/>
      <c r="O2269" s="15"/>
      <c r="P2269" s="15"/>
    </row>
    <row r="2270" spans="1:16" x14ac:dyDescent="0.25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15"/>
    </row>
    <row r="2271" spans="1:16" x14ac:dyDescent="0.25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15"/>
    </row>
    <row r="2272" spans="1:16" x14ac:dyDescent="0.25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15"/>
    </row>
    <row r="2273" spans="1:16" x14ac:dyDescent="0.25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15"/>
    </row>
    <row r="2274" spans="1:16" x14ac:dyDescent="0.25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5"/>
      <c r="N2274" s="15"/>
      <c r="O2274" s="15"/>
      <c r="P2274" s="15"/>
    </row>
    <row r="2275" spans="1:16" x14ac:dyDescent="0.25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5"/>
      <c r="N2275" s="15"/>
      <c r="O2275" s="15"/>
      <c r="P2275" s="15"/>
    </row>
    <row r="2276" spans="1:16" x14ac:dyDescent="0.25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5"/>
      <c r="N2276" s="15"/>
      <c r="O2276" s="15"/>
      <c r="P2276" s="15"/>
    </row>
    <row r="2277" spans="1:16" x14ac:dyDescent="0.25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15"/>
    </row>
    <row r="2278" spans="1:16" x14ac:dyDescent="0.25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15"/>
    </row>
    <row r="2279" spans="1:16" x14ac:dyDescent="0.25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15"/>
    </row>
    <row r="2280" spans="1:16" x14ac:dyDescent="0.25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15"/>
    </row>
    <row r="2281" spans="1:16" x14ac:dyDescent="0.25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5"/>
      <c r="N2281" s="15"/>
      <c r="O2281" s="15"/>
      <c r="P2281" s="15"/>
    </row>
    <row r="2282" spans="1:16" x14ac:dyDescent="0.25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5"/>
      <c r="N2282" s="15"/>
      <c r="O2282" s="15"/>
      <c r="P2282" s="15"/>
    </row>
    <row r="2283" spans="1:16" x14ac:dyDescent="0.25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5"/>
      <c r="N2283" s="15"/>
      <c r="O2283" s="15"/>
      <c r="P2283" s="15"/>
    </row>
    <row r="2284" spans="1:16" x14ac:dyDescent="0.25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15"/>
    </row>
    <row r="2285" spans="1:16" x14ac:dyDescent="0.25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15"/>
    </row>
    <row r="2286" spans="1:16" x14ac:dyDescent="0.25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15"/>
    </row>
    <row r="2287" spans="1:16" x14ac:dyDescent="0.25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15"/>
    </row>
    <row r="2288" spans="1:16" x14ac:dyDescent="0.25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5"/>
      <c r="N2288" s="15"/>
      <c r="O2288" s="15"/>
      <c r="P2288" s="15"/>
    </row>
    <row r="2289" spans="1:16" x14ac:dyDescent="0.25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5"/>
      <c r="N2289" s="15"/>
      <c r="O2289" s="15"/>
      <c r="P2289" s="15"/>
    </row>
    <row r="2290" spans="1:16" x14ac:dyDescent="0.25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5"/>
      <c r="N2290" s="15"/>
      <c r="O2290" s="15"/>
      <c r="P2290" s="15"/>
    </row>
    <row r="2291" spans="1:16" x14ac:dyDescent="0.25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15"/>
    </row>
    <row r="2292" spans="1:16" x14ac:dyDescent="0.25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15"/>
    </row>
    <row r="2293" spans="1:16" x14ac:dyDescent="0.25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15"/>
    </row>
    <row r="2294" spans="1:16" x14ac:dyDescent="0.25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15"/>
    </row>
    <row r="2295" spans="1:16" x14ac:dyDescent="0.25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5"/>
      <c r="N2295" s="15"/>
      <c r="O2295" s="15"/>
      <c r="P2295" s="15"/>
    </row>
    <row r="2296" spans="1:16" x14ac:dyDescent="0.25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5"/>
      <c r="N2296" s="15"/>
      <c r="O2296" s="15"/>
      <c r="P2296" s="15"/>
    </row>
    <row r="2297" spans="1:16" x14ac:dyDescent="0.25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5"/>
      <c r="N2297" s="15"/>
      <c r="O2297" s="15"/>
      <c r="P2297" s="15"/>
    </row>
    <row r="2298" spans="1:16" x14ac:dyDescent="0.25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15"/>
    </row>
    <row r="2299" spans="1:16" x14ac:dyDescent="0.25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15"/>
    </row>
    <row r="2300" spans="1:16" x14ac:dyDescent="0.25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15"/>
    </row>
    <row r="2301" spans="1:16" x14ac:dyDescent="0.25"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1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TextBox1">
          <controlPr defaultSize="0" autoLine="0" autoPict="0" r:id="rId4">
            <anchor moveWithCells="1">
              <from>
                <xdr:col>0</xdr:col>
                <xdr:colOff>0</xdr:colOff>
                <xdr:row>5</xdr:row>
                <xdr:rowOff>200025</xdr:rowOff>
              </from>
              <to>
                <xdr:col>2</xdr:col>
                <xdr:colOff>657225</xdr:colOff>
                <xdr:row>6</xdr:row>
                <xdr:rowOff>228600</xdr:rowOff>
              </to>
            </anchor>
          </controlPr>
        </control>
      </mc:Choice>
      <mc:Fallback>
        <control shapeId="17409" r:id="rId3" name="TextBox1"/>
      </mc:Fallback>
    </mc:AlternateContent>
    <mc:AlternateContent xmlns:mc="http://schemas.openxmlformats.org/markup-compatibility/2006">
      <mc:Choice Requires="x14">
        <control shapeId="17410" r:id="rId5" name="Button 2">
          <controlPr defaultSize="0" print="0" autoFill="0" autoPict="0" macro="[0]!AÑO2022GUARDAR">
            <anchor moveWithCells="1" sizeWithCells="1">
              <from>
                <xdr:col>3</xdr:col>
                <xdr:colOff>542925</xdr:colOff>
                <xdr:row>7</xdr:row>
                <xdr:rowOff>0</xdr:rowOff>
              </from>
              <to>
                <xdr:col>4</xdr:col>
                <xdr:colOff>2428875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6" name="Button 3">
          <controlPr defaultSize="0" print="0" autoFill="0" autoPict="0" macro="[0]!_xlnm.Database">
            <anchor moveWithCells="1" sizeWithCells="1">
              <from>
                <xdr:col>4</xdr:col>
                <xdr:colOff>2438400</xdr:colOff>
                <xdr:row>7</xdr:row>
                <xdr:rowOff>9525</xdr:rowOff>
              </from>
              <to>
                <xdr:col>6</xdr:col>
                <xdr:colOff>19050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7" name="Button 4">
          <controlPr defaultSize="0" print="0" autoFill="0" autoPict="0" macro="[0]!MENU">
            <anchor moveWithCells="1" sizeWithCells="1">
              <from>
                <xdr:col>6</xdr:col>
                <xdr:colOff>28575</xdr:colOff>
                <xdr:row>7</xdr:row>
                <xdr:rowOff>19050</xdr:rowOff>
              </from>
              <to>
                <xdr:col>7</xdr:col>
                <xdr:colOff>19050</xdr:colOff>
                <xdr:row>9</xdr:row>
                <xdr:rowOff>19050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427AB-5E6B-4076-9DCB-4E24EE6BA6B4}">
  <sheetPr codeName="Hoja12">
    <tabColor rgb="FF9966FF"/>
  </sheetPr>
  <dimension ref="A1:AA636"/>
  <sheetViews>
    <sheetView workbookViewId="0">
      <selection activeCell="A15" sqref="A15"/>
    </sheetView>
  </sheetViews>
  <sheetFormatPr baseColWidth="10" defaultRowHeight="15" x14ac:dyDescent="0.25"/>
  <cols>
    <col min="1" max="1" width="48.140625" customWidth="1"/>
    <col min="2" max="2" width="21.42578125" customWidth="1"/>
    <col min="3" max="3" width="13.5703125" customWidth="1"/>
    <col min="4" max="4" width="3.5703125" customWidth="1"/>
    <col min="5" max="5" width="36.28515625" customWidth="1"/>
    <col min="6" max="6" width="24.140625" customWidth="1"/>
  </cols>
  <sheetData>
    <row r="1" spans="1:27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</row>
    <row r="2" spans="1:27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</row>
    <row r="5" spans="1:27" ht="15.75" thickBot="1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</row>
    <row r="6" spans="1:27" ht="27" thickBot="1" x14ac:dyDescent="0.45">
      <c r="A6" s="16"/>
      <c r="B6" s="16"/>
      <c r="C6" s="16"/>
      <c r="D6" s="16"/>
      <c r="E6" s="3" t="s">
        <v>3</v>
      </c>
      <c r="F6" s="4" t="s">
        <v>1</v>
      </c>
      <c r="G6" s="51" t="s">
        <v>2</v>
      </c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</row>
    <row r="7" spans="1:27" ht="19.5" thickBot="1" x14ac:dyDescent="0.35">
      <c r="A7" s="16"/>
      <c r="B7" s="16"/>
      <c r="C7" s="16"/>
      <c r="D7" s="16"/>
      <c r="E7" s="25"/>
      <c r="F7" s="33" t="s">
        <v>320</v>
      </c>
      <c r="G7" s="26" t="s">
        <v>451</v>
      </c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</row>
    <row r="8" spans="1:27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</row>
    <row r="9" spans="1:27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</row>
    <row r="10" spans="1:27" ht="15.75" thickBot="1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ht="19.5" thickBot="1" x14ac:dyDescent="0.35">
      <c r="A11" s="36" t="s">
        <v>4</v>
      </c>
      <c r="B11" s="36" t="s">
        <v>1</v>
      </c>
      <c r="C11" s="36" t="s">
        <v>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ht="19.5" thickBot="1" x14ac:dyDescent="0.35">
      <c r="A12" s="25" t="s">
        <v>332</v>
      </c>
      <c r="B12" s="33" t="s">
        <v>320</v>
      </c>
      <c r="C12" s="24" t="s">
        <v>118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ht="19.5" thickBot="1" x14ac:dyDescent="0.35">
      <c r="A13" s="25" t="s">
        <v>329</v>
      </c>
      <c r="B13" s="25" t="s">
        <v>320</v>
      </c>
      <c r="C13" s="24" t="s">
        <v>119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ht="19.5" thickBot="1" x14ac:dyDescent="0.35">
      <c r="A14" s="25" t="s">
        <v>321</v>
      </c>
      <c r="B14" s="25" t="s">
        <v>320</v>
      </c>
      <c r="C14" s="24" t="s">
        <v>120</v>
      </c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ht="19.5" thickBot="1" x14ac:dyDescent="0.35">
      <c r="A15" s="25" t="s">
        <v>330</v>
      </c>
      <c r="B15" s="25" t="s">
        <v>320</v>
      </c>
      <c r="C15" s="24" t="s">
        <v>121</v>
      </c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ht="19.5" thickBot="1" x14ac:dyDescent="0.35">
      <c r="A16" s="25" t="s">
        <v>325</v>
      </c>
      <c r="B16" s="25" t="s">
        <v>320</v>
      </c>
      <c r="C16" s="24" t="s">
        <v>122</v>
      </c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ht="19.5" thickBot="1" x14ac:dyDescent="0.35">
      <c r="A17" s="25" t="s">
        <v>328</v>
      </c>
      <c r="B17" s="25" t="s">
        <v>320</v>
      </c>
      <c r="C17" s="24" t="s">
        <v>123</v>
      </c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ht="19.5" thickBot="1" x14ac:dyDescent="0.35">
      <c r="A18" s="25" t="s">
        <v>326</v>
      </c>
      <c r="B18" s="25" t="s">
        <v>320</v>
      </c>
      <c r="C18" s="24" t="s">
        <v>124</v>
      </c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ht="19.5" thickBot="1" x14ac:dyDescent="0.35">
      <c r="A19" s="25" t="s">
        <v>327</v>
      </c>
      <c r="B19" s="25" t="s">
        <v>320</v>
      </c>
      <c r="C19" s="24" t="s">
        <v>125</v>
      </c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ht="19.5" thickBot="1" x14ac:dyDescent="0.35">
      <c r="A20" s="25" t="s">
        <v>334</v>
      </c>
      <c r="B20" s="25" t="s">
        <v>320</v>
      </c>
      <c r="C20" s="24" t="s">
        <v>126</v>
      </c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ht="19.5" thickBot="1" x14ac:dyDescent="0.35">
      <c r="A21" s="25" t="s">
        <v>322</v>
      </c>
      <c r="B21" s="25" t="s">
        <v>320</v>
      </c>
      <c r="C21" s="24" t="s">
        <v>127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</row>
    <row r="22" spans="1:27" ht="19.5" thickBot="1" x14ac:dyDescent="0.35">
      <c r="A22" s="25" t="s">
        <v>323</v>
      </c>
      <c r="B22" s="25" t="s">
        <v>320</v>
      </c>
      <c r="C22" s="24" t="s">
        <v>128</v>
      </c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</row>
    <row r="23" spans="1:27" ht="19.5" thickBot="1" x14ac:dyDescent="0.35">
      <c r="A23" s="25" t="s">
        <v>333</v>
      </c>
      <c r="B23" s="25" t="s">
        <v>320</v>
      </c>
      <c r="C23" s="24" t="s">
        <v>129</v>
      </c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</row>
    <row r="24" spans="1:27" ht="19.5" thickBot="1" x14ac:dyDescent="0.35">
      <c r="A24" s="25" t="s">
        <v>324</v>
      </c>
      <c r="B24" s="25" t="s">
        <v>320</v>
      </c>
      <c r="C24" s="24" t="s">
        <v>130</v>
      </c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</row>
    <row r="25" spans="1:27" ht="19.5" thickBot="1" x14ac:dyDescent="0.35">
      <c r="A25" s="25" t="s">
        <v>331</v>
      </c>
      <c r="B25" s="25" t="s">
        <v>320</v>
      </c>
      <c r="C25" s="24" t="s">
        <v>131</v>
      </c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</row>
    <row r="26" spans="1:27" ht="19.5" thickBot="1" x14ac:dyDescent="0.35">
      <c r="A26" s="25" t="s">
        <v>1457</v>
      </c>
      <c r="B26" s="25" t="s">
        <v>320</v>
      </c>
      <c r="C26" s="26" t="s">
        <v>585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</row>
    <row r="27" spans="1:27" ht="18.75" x14ac:dyDescent="0.3">
      <c r="A27" s="34" t="s">
        <v>9</v>
      </c>
      <c r="B27" s="34"/>
      <c r="C27" s="29">
        <f>SUBTOTAL(103,TABLAAÑO2023[FICHA])</f>
        <v>15</v>
      </c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</row>
    <row r="28" spans="1:27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</row>
    <row r="33" spans="1:27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</row>
    <row r="34" spans="1:27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</row>
    <row r="35" spans="1:27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</row>
    <row r="36" spans="1:27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</row>
    <row r="37" spans="1:27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</row>
    <row r="38" spans="1:27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</row>
    <row r="41" spans="1:27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</row>
    <row r="42" spans="1:27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</row>
    <row r="43" spans="1:27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</row>
    <row r="44" spans="1:27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</row>
    <row r="45" spans="1:27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7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</row>
    <row r="47" spans="1:27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7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1:27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7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7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1:27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7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</row>
    <row r="56" spans="1:27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</row>
    <row r="57" spans="1:27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</row>
    <row r="58" spans="1:27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</row>
    <row r="59" spans="1:27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</row>
    <row r="60" spans="1:27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</row>
    <row r="61" spans="1:27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</row>
    <row r="62" spans="1:27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</row>
    <row r="63" spans="1:27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</row>
    <row r="64" spans="1:27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</row>
    <row r="65" spans="1:27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</row>
    <row r="66" spans="1:27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</row>
    <row r="67" spans="1:27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</row>
    <row r="68" spans="1:27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</row>
    <row r="69" spans="1:27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</row>
    <row r="70" spans="1:27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</row>
    <row r="71" spans="1:27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</row>
    <row r="72" spans="1:27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</row>
    <row r="73" spans="1:27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</row>
    <row r="74" spans="1:27" x14ac:dyDescent="0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</row>
    <row r="75" spans="1:27" x14ac:dyDescent="0.2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</row>
    <row r="76" spans="1:27" x14ac:dyDescent="0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</row>
    <row r="77" spans="1:27" x14ac:dyDescent="0.2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</row>
    <row r="78" spans="1:27" x14ac:dyDescent="0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</row>
    <row r="79" spans="1:27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</row>
    <row r="80" spans="1:27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</row>
    <row r="81" spans="1:27" x14ac:dyDescent="0.2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</row>
    <row r="82" spans="1:27" x14ac:dyDescent="0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</row>
    <row r="83" spans="1:27" x14ac:dyDescent="0.2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</row>
    <row r="84" spans="1:27" x14ac:dyDescent="0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</row>
    <row r="85" spans="1:27" x14ac:dyDescent="0.2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</row>
    <row r="86" spans="1:27" x14ac:dyDescent="0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</row>
    <row r="87" spans="1:27" x14ac:dyDescent="0.2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</row>
    <row r="88" spans="1:27" x14ac:dyDescent="0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</row>
    <row r="89" spans="1:27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</row>
    <row r="90" spans="1:27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</row>
    <row r="91" spans="1:27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1:27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</row>
    <row r="93" spans="1:27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</row>
    <row r="94" spans="1:27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</row>
    <row r="95" spans="1:27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</row>
    <row r="96" spans="1:27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</row>
    <row r="97" spans="1:27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</row>
    <row r="98" spans="1:27" x14ac:dyDescent="0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</row>
    <row r="99" spans="1:27" x14ac:dyDescent="0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</row>
    <row r="100" spans="1:27" x14ac:dyDescent="0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1:27" x14ac:dyDescent="0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</row>
    <row r="102" spans="1:27" x14ac:dyDescent="0.2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</row>
    <row r="103" spans="1:27" x14ac:dyDescent="0.2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</row>
    <row r="104" spans="1:27" x14ac:dyDescent="0.2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</row>
    <row r="105" spans="1:27" x14ac:dyDescent="0.2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</row>
    <row r="106" spans="1:27" x14ac:dyDescent="0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</row>
    <row r="107" spans="1:27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</row>
    <row r="108" spans="1:27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</row>
    <row r="109" spans="1:27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</row>
    <row r="110" spans="1:27" x14ac:dyDescent="0.2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</row>
    <row r="111" spans="1:27" x14ac:dyDescent="0.2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</row>
    <row r="112" spans="1:27" x14ac:dyDescent="0.2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</row>
    <row r="113" spans="1:27" x14ac:dyDescent="0.2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</row>
    <row r="114" spans="1:27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</row>
    <row r="115" spans="1:27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</row>
    <row r="116" spans="1:27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</row>
    <row r="117" spans="1:27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</row>
    <row r="118" spans="1:27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</row>
    <row r="119" spans="1:27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</row>
    <row r="120" spans="1:27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</row>
    <row r="121" spans="1:27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</row>
    <row r="122" spans="1:27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1:27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1:27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1:27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1:27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 x14ac:dyDescent="0.2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1:27" x14ac:dyDescent="0.2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1:27" x14ac:dyDescent="0.2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1:27" x14ac:dyDescent="0.2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1:27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</row>
    <row r="133" spans="1:27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</row>
    <row r="134" spans="1:27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</row>
    <row r="135" spans="1:27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</row>
    <row r="136" spans="1:27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</row>
    <row r="137" spans="1:27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</row>
    <row r="138" spans="1:27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</row>
    <row r="139" spans="1:27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</row>
    <row r="140" spans="1:27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</row>
    <row r="141" spans="1:27" x14ac:dyDescent="0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</row>
    <row r="142" spans="1:27" x14ac:dyDescent="0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</row>
    <row r="143" spans="1:27" x14ac:dyDescent="0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</row>
    <row r="144" spans="1:27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</row>
    <row r="145" spans="1:27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</row>
    <row r="146" spans="1:27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</row>
    <row r="147" spans="1:27" x14ac:dyDescent="0.2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</row>
    <row r="148" spans="1:27" x14ac:dyDescent="0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</row>
    <row r="149" spans="1:27" x14ac:dyDescent="0.2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</row>
    <row r="150" spans="1:27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</row>
    <row r="151" spans="1:27" x14ac:dyDescent="0.2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</row>
    <row r="152" spans="1:27" x14ac:dyDescent="0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</row>
    <row r="153" spans="1:27" x14ac:dyDescent="0.2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</row>
    <row r="154" spans="1:27" x14ac:dyDescent="0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</row>
    <row r="155" spans="1:27" x14ac:dyDescent="0.2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</row>
    <row r="156" spans="1:27" x14ac:dyDescent="0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</row>
    <row r="157" spans="1:27" x14ac:dyDescent="0.2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</row>
    <row r="158" spans="1:27" x14ac:dyDescent="0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</row>
    <row r="159" spans="1:27" x14ac:dyDescent="0.2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</row>
    <row r="160" spans="1:27" x14ac:dyDescent="0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</row>
    <row r="161" spans="1:27" x14ac:dyDescent="0.2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</row>
    <row r="162" spans="1:27" x14ac:dyDescent="0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</row>
    <row r="163" spans="1:27" x14ac:dyDescent="0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</row>
    <row r="164" spans="1:27" x14ac:dyDescent="0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</row>
    <row r="165" spans="1:27" x14ac:dyDescent="0.2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</row>
    <row r="166" spans="1:27" x14ac:dyDescent="0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</row>
    <row r="167" spans="1:27" x14ac:dyDescent="0.2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</row>
    <row r="168" spans="1:27" x14ac:dyDescent="0.2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</row>
    <row r="169" spans="1:27" x14ac:dyDescent="0.2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</row>
    <row r="170" spans="1:27" x14ac:dyDescent="0.2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</row>
    <row r="171" spans="1:27" x14ac:dyDescent="0.2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</row>
    <row r="172" spans="1:27" x14ac:dyDescent="0.2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</row>
    <row r="173" spans="1:27" x14ac:dyDescent="0.2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</row>
    <row r="174" spans="1:27" x14ac:dyDescent="0.2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</row>
    <row r="175" spans="1:27" x14ac:dyDescent="0.2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</row>
    <row r="176" spans="1:27" x14ac:dyDescent="0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</row>
    <row r="177" spans="1:27" x14ac:dyDescent="0.2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</row>
    <row r="178" spans="1:27" x14ac:dyDescent="0.2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</row>
    <row r="179" spans="1:27" x14ac:dyDescent="0.2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</row>
    <row r="180" spans="1:27" x14ac:dyDescent="0.2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</row>
    <row r="181" spans="1:27" x14ac:dyDescent="0.2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</row>
    <row r="182" spans="1:27" x14ac:dyDescent="0.2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</row>
    <row r="183" spans="1:27" x14ac:dyDescent="0.2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</row>
    <row r="184" spans="1:27" x14ac:dyDescent="0.2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</row>
    <row r="185" spans="1:27" x14ac:dyDescent="0.2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</row>
    <row r="186" spans="1:27" x14ac:dyDescent="0.2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</row>
    <row r="187" spans="1:27" x14ac:dyDescent="0.2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</row>
    <row r="188" spans="1:27" x14ac:dyDescent="0.2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</row>
    <row r="189" spans="1:27" x14ac:dyDescent="0.2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</row>
    <row r="190" spans="1:27" x14ac:dyDescent="0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</row>
    <row r="191" spans="1:27" x14ac:dyDescent="0.2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</row>
    <row r="192" spans="1:27" x14ac:dyDescent="0.2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</row>
    <row r="193" spans="1:27" x14ac:dyDescent="0.2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</row>
    <row r="194" spans="1:27" x14ac:dyDescent="0.2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</row>
    <row r="195" spans="1:27" x14ac:dyDescent="0.2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</row>
    <row r="196" spans="1:27" x14ac:dyDescent="0.2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</row>
    <row r="197" spans="1:27" x14ac:dyDescent="0.2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</row>
    <row r="198" spans="1:27" x14ac:dyDescent="0.2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</row>
    <row r="199" spans="1:27" x14ac:dyDescent="0.2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</row>
    <row r="200" spans="1:27" x14ac:dyDescent="0.2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</row>
    <row r="201" spans="1:27" x14ac:dyDescent="0.2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</row>
    <row r="202" spans="1:27" x14ac:dyDescent="0.2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</row>
    <row r="203" spans="1:27" x14ac:dyDescent="0.2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</row>
    <row r="204" spans="1:27" x14ac:dyDescent="0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</row>
    <row r="205" spans="1:27" x14ac:dyDescent="0.2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</row>
    <row r="206" spans="1:27" x14ac:dyDescent="0.2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</row>
    <row r="207" spans="1:27" x14ac:dyDescent="0.2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</row>
    <row r="208" spans="1:27" x14ac:dyDescent="0.2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</row>
    <row r="209" spans="1:27" x14ac:dyDescent="0.2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</row>
    <row r="210" spans="1:27" x14ac:dyDescent="0.2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</row>
    <row r="211" spans="1:27" x14ac:dyDescent="0.2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</row>
    <row r="212" spans="1:27" x14ac:dyDescent="0.2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</row>
    <row r="213" spans="1:27" x14ac:dyDescent="0.2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</row>
    <row r="214" spans="1:27" x14ac:dyDescent="0.2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</row>
    <row r="215" spans="1:27" x14ac:dyDescent="0.2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</row>
    <row r="216" spans="1:27" x14ac:dyDescent="0.2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</row>
    <row r="217" spans="1:27" x14ac:dyDescent="0.2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</row>
    <row r="218" spans="1:27" x14ac:dyDescent="0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</row>
    <row r="219" spans="1:27" x14ac:dyDescent="0.2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</row>
    <row r="220" spans="1:27" x14ac:dyDescent="0.2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</row>
    <row r="221" spans="1:27" x14ac:dyDescent="0.2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</row>
    <row r="222" spans="1:27" x14ac:dyDescent="0.2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</row>
    <row r="223" spans="1:27" x14ac:dyDescent="0.2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</row>
    <row r="224" spans="1:27" x14ac:dyDescent="0.2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</row>
    <row r="225" spans="1:27" x14ac:dyDescent="0.2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</row>
    <row r="226" spans="1:27" x14ac:dyDescent="0.2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</row>
    <row r="227" spans="1:27" x14ac:dyDescent="0.2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</row>
    <row r="228" spans="1:27" x14ac:dyDescent="0.2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</row>
    <row r="229" spans="1:27" x14ac:dyDescent="0.2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</row>
    <row r="230" spans="1:27" x14ac:dyDescent="0.2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</row>
    <row r="231" spans="1:27" x14ac:dyDescent="0.2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</row>
    <row r="232" spans="1:27" x14ac:dyDescent="0.2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</row>
    <row r="233" spans="1:27" x14ac:dyDescent="0.2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</row>
    <row r="234" spans="1:27" x14ac:dyDescent="0.2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</row>
    <row r="235" spans="1:27" x14ac:dyDescent="0.2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</row>
    <row r="236" spans="1:27" x14ac:dyDescent="0.2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</row>
    <row r="237" spans="1:27" x14ac:dyDescent="0.2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</row>
    <row r="238" spans="1:27" x14ac:dyDescent="0.2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</row>
    <row r="239" spans="1:27" x14ac:dyDescent="0.2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</row>
    <row r="240" spans="1:27" x14ac:dyDescent="0.2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</row>
    <row r="241" spans="1:27" x14ac:dyDescent="0.2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</row>
    <row r="242" spans="1:27" x14ac:dyDescent="0.2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</row>
    <row r="243" spans="1:27" x14ac:dyDescent="0.2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</row>
    <row r="244" spans="1:27" x14ac:dyDescent="0.2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</row>
    <row r="245" spans="1:27" x14ac:dyDescent="0.2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</row>
    <row r="246" spans="1:27" x14ac:dyDescent="0.2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</row>
    <row r="247" spans="1:27" x14ac:dyDescent="0.2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</row>
    <row r="248" spans="1:27" x14ac:dyDescent="0.2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</row>
    <row r="249" spans="1:27" x14ac:dyDescent="0.2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</row>
    <row r="250" spans="1:27" x14ac:dyDescent="0.2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</row>
    <row r="251" spans="1:27" x14ac:dyDescent="0.2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</row>
    <row r="252" spans="1:27" x14ac:dyDescent="0.2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</row>
    <row r="253" spans="1:27" x14ac:dyDescent="0.2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</row>
    <row r="254" spans="1:27" x14ac:dyDescent="0.2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</row>
    <row r="255" spans="1:27" x14ac:dyDescent="0.2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</row>
    <row r="256" spans="1:27" x14ac:dyDescent="0.2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</row>
    <row r="257" spans="1:27" x14ac:dyDescent="0.2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</row>
    <row r="258" spans="1:27" x14ac:dyDescent="0.2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</row>
    <row r="259" spans="1:27" x14ac:dyDescent="0.2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</row>
    <row r="260" spans="1:27" x14ac:dyDescent="0.2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</row>
    <row r="261" spans="1:27" x14ac:dyDescent="0.2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</row>
    <row r="262" spans="1:27" x14ac:dyDescent="0.2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</row>
    <row r="263" spans="1:27" x14ac:dyDescent="0.2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</row>
    <row r="264" spans="1:27" x14ac:dyDescent="0.2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</row>
    <row r="265" spans="1:27" x14ac:dyDescent="0.2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</row>
    <row r="266" spans="1:27" x14ac:dyDescent="0.2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</row>
    <row r="267" spans="1:27" x14ac:dyDescent="0.2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</row>
    <row r="268" spans="1:27" x14ac:dyDescent="0.2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</row>
    <row r="269" spans="1:27" x14ac:dyDescent="0.2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</row>
    <row r="270" spans="1:27" x14ac:dyDescent="0.2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</row>
    <row r="271" spans="1:27" x14ac:dyDescent="0.2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</row>
    <row r="272" spans="1:27" x14ac:dyDescent="0.2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</row>
    <row r="273" spans="1:27" x14ac:dyDescent="0.2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</row>
    <row r="274" spans="1:27" x14ac:dyDescent="0.2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</row>
    <row r="275" spans="1:27" x14ac:dyDescent="0.2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</row>
    <row r="276" spans="1:27" x14ac:dyDescent="0.2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</row>
    <row r="277" spans="1:27" x14ac:dyDescent="0.2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</row>
    <row r="278" spans="1:27" x14ac:dyDescent="0.2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</row>
    <row r="279" spans="1:27" x14ac:dyDescent="0.2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</row>
    <row r="280" spans="1:27" x14ac:dyDescent="0.2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</row>
    <row r="281" spans="1:27" x14ac:dyDescent="0.2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</row>
    <row r="282" spans="1:27" x14ac:dyDescent="0.2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</row>
    <row r="283" spans="1:27" x14ac:dyDescent="0.2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</row>
    <row r="284" spans="1:27" x14ac:dyDescent="0.2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</row>
    <row r="285" spans="1:27" x14ac:dyDescent="0.2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</row>
    <row r="286" spans="1:27" x14ac:dyDescent="0.2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</row>
    <row r="287" spans="1:27" x14ac:dyDescent="0.2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</row>
    <row r="288" spans="1:27" x14ac:dyDescent="0.2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</row>
    <row r="289" spans="1:27" x14ac:dyDescent="0.2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</row>
    <row r="290" spans="1:27" x14ac:dyDescent="0.2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</row>
    <row r="291" spans="1:27" x14ac:dyDescent="0.2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</row>
    <row r="292" spans="1:27" x14ac:dyDescent="0.2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</row>
    <row r="293" spans="1:27" x14ac:dyDescent="0.2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</row>
    <row r="294" spans="1:27" x14ac:dyDescent="0.2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</row>
    <row r="295" spans="1:27" x14ac:dyDescent="0.2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</row>
    <row r="296" spans="1:27" x14ac:dyDescent="0.2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</row>
    <row r="297" spans="1:27" x14ac:dyDescent="0.2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</row>
    <row r="298" spans="1:27" x14ac:dyDescent="0.2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</row>
    <row r="299" spans="1:27" x14ac:dyDescent="0.2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</row>
    <row r="300" spans="1:27" x14ac:dyDescent="0.2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</row>
    <row r="301" spans="1:27" x14ac:dyDescent="0.2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</row>
    <row r="302" spans="1:27" x14ac:dyDescent="0.2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</row>
    <row r="303" spans="1:27" x14ac:dyDescent="0.2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</row>
    <row r="304" spans="1:27" x14ac:dyDescent="0.2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</row>
    <row r="305" spans="1:27" x14ac:dyDescent="0.2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</row>
    <row r="306" spans="1:27" x14ac:dyDescent="0.2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</row>
    <row r="307" spans="1:27" x14ac:dyDescent="0.2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</row>
    <row r="308" spans="1:27" x14ac:dyDescent="0.2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</row>
    <row r="309" spans="1:27" x14ac:dyDescent="0.2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</row>
    <row r="310" spans="1:27" x14ac:dyDescent="0.2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</row>
    <row r="311" spans="1:27" x14ac:dyDescent="0.2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</row>
    <row r="312" spans="1:27" x14ac:dyDescent="0.2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</row>
    <row r="313" spans="1:27" x14ac:dyDescent="0.2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</row>
    <row r="314" spans="1:27" x14ac:dyDescent="0.2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</row>
    <row r="315" spans="1:27" x14ac:dyDescent="0.2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</row>
    <row r="316" spans="1:27" x14ac:dyDescent="0.2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</row>
    <row r="317" spans="1:27" x14ac:dyDescent="0.2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</row>
    <row r="318" spans="1:27" x14ac:dyDescent="0.2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</row>
    <row r="319" spans="1:27" x14ac:dyDescent="0.2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</row>
    <row r="320" spans="1:27" x14ac:dyDescent="0.2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</row>
    <row r="321" spans="1:27" x14ac:dyDescent="0.2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</row>
    <row r="322" spans="1:27" x14ac:dyDescent="0.2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</row>
    <row r="323" spans="1:27" x14ac:dyDescent="0.2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</row>
    <row r="324" spans="1:27" x14ac:dyDescent="0.2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</row>
    <row r="325" spans="1:27" x14ac:dyDescent="0.2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</row>
    <row r="326" spans="1:27" x14ac:dyDescent="0.2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</row>
    <row r="327" spans="1:27" x14ac:dyDescent="0.2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</row>
    <row r="328" spans="1:27" x14ac:dyDescent="0.2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</row>
    <row r="329" spans="1:27" x14ac:dyDescent="0.2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</row>
    <row r="330" spans="1:27" x14ac:dyDescent="0.2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</row>
    <row r="331" spans="1:27" x14ac:dyDescent="0.2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</row>
    <row r="332" spans="1:27" x14ac:dyDescent="0.2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</row>
    <row r="333" spans="1:27" x14ac:dyDescent="0.2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</row>
    <row r="334" spans="1:27" x14ac:dyDescent="0.2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</row>
    <row r="335" spans="1:27" x14ac:dyDescent="0.2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</row>
    <row r="336" spans="1:27" x14ac:dyDescent="0.2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</row>
    <row r="337" spans="1:27" x14ac:dyDescent="0.2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</row>
    <row r="338" spans="1:27" x14ac:dyDescent="0.2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</row>
    <row r="339" spans="1:27" x14ac:dyDescent="0.2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</row>
    <row r="340" spans="1:27" x14ac:dyDescent="0.2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</row>
    <row r="341" spans="1:27" x14ac:dyDescent="0.2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</row>
    <row r="342" spans="1:27" x14ac:dyDescent="0.2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</row>
    <row r="343" spans="1:27" x14ac:dyDescent="0.2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</row>
    <row r="344" spans="1:27" x14ac:dyDescent="0.2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</row>
    <row r="345" spans="1:27" x14ac:dyDescent="0.2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</row>
    <row r="346" spans="1:27" x14ac:dyDescent="0.2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</row>
    <row r="347" spans="1:27" x14ac:dyDescent="0.2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</row>
    <row r="348" spans="1:27" x14ac:dyDescent="0.2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</row>
    <row r="349" spans="1:27" x14ac:dyDescent="0.2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</row>
    <row r="350" spans="1:27" x14ac:dyDescent="0.2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</row>
    <row r="351" spans="1:27" x14ac:dyDescent="0.2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</row>
    <row r="352" spans="1:27" x14ac:dyDescent="0.2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</row>
    <row r="353" spans="1:27" x14ac:dyDescent="0.2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</row>
    <row r="354" spans="1:27" x14ac:dyDescent="0.2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</row>
    <row r="355" spans="1:27" x14ac:dyDescent="0.2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</row>
    <row r="356" spans="1:27" x14ac:dyDescent="0.2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</row>
    <row r="357" spans="1:27" x14ac:dyDescent="0.2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</row>
    <row r="358" spans="1:27" x14ac:dyDescent="0.2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</row>
    <row r="359" spans="1:27" x14ac:dyDescent="0.2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</row>
    <row r="360" spans="1:27" x14ac:dyDescent="0.2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</row>
    <row r="361" spans="1:27" x14ac:dyDescent="0.2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</row>
    <row r="362" spans="1:27" x14ac:dyDescent="0.2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</row>
    <row r="363" spans="1:27" x14ac:dyDescent="0.2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</row>
    <row r="364" spans="1:27" x14ac:dyDescent="0.2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</row>
    <row r="365" spans="1:27" x14ac:dyDescent="0.2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</row>
    <row r="366" spans="1:27" x14ac:dyDescent="0.2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</row>
    <row r="367" spans="1:27" x14ac:dyDescent="0.2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</row>
    <row r="368" spans="1:27" x14ac:dyDescent="0.2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</row>
    <row r="369" spans="1:27" x14ac:dyDescent="0.2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</row>
    <row r="370" spans="1:27" x14ac:dyDescent="0.2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</row>
    <row r="371" spans="1:27" x14ac:dyDescent="0.2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</row>
    <row r="372" spans="1:27" x14ac:dyDescent="0.2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</row>
    <row r="373" spans="1:27" x14ac:dyDescent="0.2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</row>
    <row r="374" spans="1:27" x14ac:dyDescent="0.2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</row>
    <row r="375" spans="1:27" x14ac:dyDescent="0.2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</row>
    <row r="376" spans="1:27" x14ac:dyDescent="0.2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</row>
    <row r="377" spans="1:27" x14ac:dyDescent="0.2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</row>
    <row r="378" spans="1:27" x14ac:dyDescent="0.2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</row>
    <row r="379" spans="1:27" x14ac:dyDescent="0.2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</row>
    <row r="380" spans="1:27" x14ac:dyDescent="0.2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</row>
    <row r="381" spans="1:27" x14ac:dyDescent="0.2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</row>
    <row r="382" spans="1:27" x14ac:dyDescent="0.2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</row>
    <row r="383" spans="1:27" x14ac:dyDescent="0.2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</row>
    <row r="384" spans="1:27" x14ac:dyDescent="0.2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</row>
    <row r="385" spans="1:27" x14ac:dyDescent="0.2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</row>
    <row r="386" spans="1:27" x14ac:dyDescent="0.2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</row>
    <row r="387" spans="1:27" x14ac:dyDescent="0.2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</row>
    <row r="388" spans="1:27" x14ac:dyDescent="0.2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</row>
    <row r="389" spans="1:27" x14ac:dyDescent="0.2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</row>
    <row r="390" spans="1:27" x14ac:dyDescent="0.2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</row>
    <row r="391" spans="1:27" x14ac:dyDescent="0.2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</row>
    <row r="392" spans="1:27" x14ac:dyDescent="0.2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</row>
    <row r="393" spans="1:27" x14ac:dyDescent="0.2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</row>
    <row r="394" spans="1:27" x14ac:dyDescent="0.2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</row>
    <row r="395" spans="1:27" x14ac:dyDescent="0.2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</row>
    <row r="396" spans="1:27" x14ac:dyDescent="0.2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</row>
    <row r="397" spans="1:27" x14ac:dyDescent="0.2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</row>
    <row r="398" spans="1:27" x14ac:dyDescent="0.2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</row>
    <row r="399" spans="1:27" x14ac:dyDescent="0.2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</row>
    <row r="400" spans="1:27" x14ac:dyDescent="0.2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</row>
    <row r="401" spans="1:27" x14ac:dyDescent="0.2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</row>
    <row r="402" spans="1:27" x14ac:dyDescent="0.2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</row>
    <row r="403" spans="1:27" x14ac:dyDescent="0.2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</row>
    <row r="404" spans="1:27" x14ac:dyDescent="0.2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</row>
    <row r="405" spans="1:27" x14ac:dyDescent="0.2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</row>
    <row r="406" spans="1:27" x14ac:dyDescent="0.2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</row>
    <row r="407" spans="1:27" x14ac:dyDescent="0.2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</row>
    <row r="408" spans="1:27" x14ac:dyDescent="0.2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</row>
    <row r="409" spans="1:27" x14ac:dyDescent="0.2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</row>
    <row r="410" spans="1:27" x14ac:dyDescent="0.2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</row>
    <row r="411" spans="1:27" x14ac:dyDescent="0.2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</row>
    <row r="412" spans="1:27" x14ac:dyDescent="0.2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</row>
    <row r="413" spans="1:27" x14ac:dyDescent="0.2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</row>
    <row r="414" spans="1:27" x14ac:dyDescent="0.2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</row>
    <row r="415" spans="1:27" x14ac:dyDescent="0.2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</row>
    <row r="416" spans="1:27" x14ac:dyDescent="0.2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</row>
    <row r="417" spans="1:27" x14ac:dyDescent="0.2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</row>
    <row r="418" spans="1:27" x14ac:dyDescent="0.2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</row>
    <row r="419" spans="1:27" x14ac:dyDescent="0.2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</row>
    <row r="420" spans="1:27" x14ac:dyDescent="0.2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</row>
    <row r="421" spans="1:27" x14ac:dyDescent="0.2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</row>
    <row r="422" spans="1:27" x14ac:dyDescent="0.2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</row>
    <row r="423" spans="1:27" x14ac:dyDescent="0.2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</row>
    <row r="424" spans="1:27" x14ac:dyDescent="0.2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</row>
    <row r="425" spans="1:27" x14ac:dyDescent="0.2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</row>
    <row r="426" spans="1:27" x14ac:dyDescent="0.2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</row>
    <row r="427" spans="1:27" x14ac:dyDescent="0.2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</row>
    <row r="428" spans="1:27" x14ac:dyDescent="0.2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</row>
    <row r="429" spans="1:27" x14ac:dyDescent="0.2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</row>
    <row r="430" spans="1:27" x14ac:dyDescent="0.2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</row>
    <row r="431" spans="1:27" x14ac:dyDescent="0.2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</row>
    <row r="432" spans="1:27" x14ac:dyDescent="0.2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</row>
    <row r="433" spans="1:27" x14ac:dyDescent="0.2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</row>
    <row r="434" spans="1:27" x14ac:dyDescent="0.2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</row>
    <row r="435" spans="1:27" x14ac:dyDescent="0.2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</row>
    <row r="436" spans="1:27" x14ac:dyDescent="0.2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</row>
    <row r="437" spans="1:27" x14ac:dyDescent="0.2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</row>
    <row r="438" spans="1:27" x14ac:dyDescent="0.2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</row>
    <row r="439" spans="1:27" x14ac:dyDescent="0.2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</row>
    <row r="440" spans="1:27" x14ac:dyDescent="0.2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</row>
    <row r="441" spans="1:27" x14ac:dyDescent="0.2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</row>
    <row r="442" spans="1:27" x14ac:dyDescent="0.2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</row>
    <row r="443" spans="1:27" x14ac:dyDescent="0.2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</row>
    <row r="444" spans="1:27" x14ac:dyDescent="0.2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</row>
    <row r="445" spans="1:27" x14ac:dyDescent="0.2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</row>
    <row r="446" spans="1:27" x14ac:dyDescent="0.2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</row>
    <row r="447" spans="1:27" x14ac:dyDescent="0.2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</row>
    <row r="448" spans="1:27" x14ac:dyDescent="0.2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</row>
    <row r="449" spans="1:27" x14ac:dyDescent="0.2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</row>
    <row r="450" spans="1:27" x14ac:dyDescent="0.2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</row>
    <row r="451" spans="1:27" x14ac:dyDescent="0.2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</row>
    <row r="452" spans="1:27" x14ac:dyDescent="0.2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</row>
    <row r="453" spans="1:27" x14ac:dyDescent="0.2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</row>
    <row r="454" spans="1:27" x14ac:dyDescent="0.2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</row>
    <row r="455" spans="1:27" x14ac:dyDescent="0.2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</row>
    <row r="456" spans="1:27" x14ac:dyDescent="0.2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</row>
    <row r="457" spans="1:27" x14ac:dyDescent="0.2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</row>
    <row r="458" spans="1:27" x14ac:dyDescent="0.2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</row>
    <row r="459" spans="1:27" x14ac:dyDescent="0.2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</row>
    <row r="460" spans="1:27" x14ac:dyDescent="0.2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</row>
    <row r="461" spans="1:27" x14ac:dyDescent="0.2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</row>
    <row r="462" spans="1:27" x14ac:dyDescent="0.2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</row>
    <row r="463" spans="1:27" x14ac:dyDescent="0.2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</row>
    <row r="464" spans="1:27" x14ac:dyDescent="0.2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</row>
    <row r="465" spans="1:27" x14ac:dyDescent="0.2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</row>
    <row r="466" spans="1:27" x14ac:dyDescent="0.2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</row>
    <row r="467" spans="1:27" x14ac:dyDescent="0.2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</row>
    <row r="468" spans="1:27" x14ac:dyDescent="0.2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</row>
    <row r="469" spans="1:27" x14ac:dyDescent="0.2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</row>
    <row r="470" spans="1:27" x14ac:dyDescent="0.2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</row>
    <row r="471" spans="1:27" x14ac:dyDescent="0.2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</row>
    <row r="472" spans="1:27" x14ac:dyDescent="0.2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</row>
    <row r="473" spans="1:27" x14ac:dyDescent="0.2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</row>
    <row r="474" spans="1:27" x14ac:dyDescent="0.2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</row>
    <row r="475" spans="1:27" x14ac:dyDescent="0.2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</row>
    <row r="476" spans="1:27" x14ac:dyDescent="0.2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</row>
    <row r="477" spans="1:27" x14ac:dyDescent="0.2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</row>
    <row r="478" spans="1:27" x14ac:dyDescent="0.2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</row>
    <row r="479" spans="1:27" x14ac:dyDescent="0.2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</row>
    <row r="480" spans="1:27" x14ac:dyDescent="0.2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</row>
    <row r="481" spans="1:27" x14ac:dyDescent="0.2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</row>
    <row r="482" spans="1:27" x14ac:dyDescent="0.2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</row>
    <row r="483" spans="1:27" x14ac:dyDescent="0.2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</row>
    <row r="484" spans="1:27" x14ac:dyDescent="0.2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</row>
    <row r="485" spans="1:27" x14ac:dyDescent="0.2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</row>
    <row r="486" spans="1:27" x14ac:dyDescent="0.2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</row>
    <row r="487" spans="1:27" x14ac:dyDescent="0.2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</row>
    <row r="488" spans="1:27" x14ac:dyDescent="0.2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</row>
    <row r="489" spans="1:27" x14ac:dyDescent="0.2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</row>
    <row r="490" spans="1:27" x14ac:dyDescent="0.2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</row>
    <row r="491" spans="1:27" x14ac:dyDescent="0.2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</row>
    <row r="492" spans="1:27" x14ac:dyDescent="0.2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</row>
    <row r="493" spans="1:27" x14ac:dyDescent="0.2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</row>
    <row r="494" spans="1:27" x14ac:dyDescent="0.2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</row>
    <row r="495" spans="1:27" x14ac:dyDescent="0.2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</row>
    <row r="496" spans="1:27" x14ac:dyDescent="0.2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</row>
    <row r="497" spans="1:27" x14ac:dyDescent="0.2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</row>
    <row r="498" spans="1:27" x14ac:dyDescent="0.2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</row>
    <row r="499" spans="1:27" x14ac:dyDescent="0.2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</row>
    <row r="500" spans="1:27" x14ac:dyDescent="0.2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</row>
    <row r="501" spans="1:27" x14ac:dyDescent="0.2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</row>
    <row r="502" spans="1:27" x14ac:dyDescent="0.2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</row>
    <row r="503" spans="1:27" x14ac:dyDescent="0.2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</row>
    <row r="504" spans="1:27" x14ac:dyDescent="0.2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</row>
    <row r="505" spans="1:27" x14ac:dyDescent="0.2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</row>
    <row r="506" spans="1:27" x14ac:dyDescent="0.2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</row>
    <row r="507" spans="1:27" x14ac:dyDescent="0.2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</row>
    <row r="508" spans="1:27" x14ac:dyDescent="0.2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</row>
    <row r="509" spans="1:27" x14ac:dyDescent="0.2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</row>
    <row r="510" spans="1:27" x14ac:dyDescent="0.2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</row>
    <row r="511" spans="1:27" x14ac:dyDescent="0.2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</row>
    <row r="512" spans="1:27" x14ac:dyDescent="0.2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</row>
    <row r="513" spans="1:27" x14ac:dyDescent="0.2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</row>
    <row r="514" spans="1:27" x14ac:dyDescent="0.2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</row>
    <row r="515" spans="1:27" x14ac:dyDescent="0.2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</row>
    <row r="516" spans="1:27" x14ac:dyDescent="0.2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</row>
    <row r="517" spans="1:27" x14ac:dyDescent="0.2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</row>
    <row r="518" spans="1:27" x14ac:dyDescent="0.2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</row>
    <row r="519" spans="1:27" x14ac:dyDescent="0.2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</row>
    <row r="520" spans="1:27" x14ac:dyDescent="0.2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</row>
    <row r="521" spans="1:27" x14ac:dyDescent="0.2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</row>
    <row r="522" spans="1:27" x14ac:dyDescent="0.2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</row>
    <row r="523" spans="1:27" x14ac:dyDescent="0.2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</row>
    <row r="524" spans="1:27" x14ac:dyDescent="0.2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</row>
    <row r="525" spans="1:27" x14ac:dyDescent="0.2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</row>
    <row r="526" spans="1:27" x14ac:dyDescent="0.2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</row>
    <row r="527" spans="1:27" x14ac:dyDescent="0.2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</row>
    <row r="528" spans="1:27" x14ac:dyDescent="0.2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</row>
    <row r="529" spans="1:27" x14ac:dyDescent="0.2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</row>
    <row r="530" spans="1:27" x14ac:dyDescent="0.2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</row>
    <row r="531" spans="1:27" x14ac:dyDescent="0.2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</row>
    <row r="532" spans="1:27" x14ac:dyDescent="0.2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</row>
    <row r="533" spans="1:27" x14ac:dyDescent="0.2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</row>
    <row r="534" spans="1:27" x14ac:dyDescent="0.2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</row>
    <row r="535" spans="1:27" x14ac:dyDescent="0.2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</row>
    <row r="536" spans="1:27" x14ac:dyDescent="0.2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</row>
    <row r="537" spans="1:27" x14ac:dyDescent="0.2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</row>
    <row r="538" spans="1:27" x14ac:dyDescent="0.2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</row>
    <row r="539" spans="1:27" x14ac:dyDescent="0.2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</row>
    <row r="540" spans="1:27" x14ac:dyDescent="0.2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</row>
    <row r="541" spans="1:27" x14ac:dyDescent="0.2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</row>
    <row r="542" spans="1:27" x14ac:dyDescent="0.2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</row>
    <row r="543" spans="1:27" x14ac:dyDescent="0.2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</row>
    <row r="544" spans="1:27" x14ac:dyDescent="0.2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</row>
    <row r="545" spans="1:27" x14ac:dyDescent="0.2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</row>
    <row r="546" spans="1:27" x14ac:dyDescent="0.2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</row>
    <row r="547" spans="1:27" x14ac:dyDescent="0.2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</row>
    <row r="548" spans="1:27" x14ac:dyDescent="0.2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</row>
    <row r="549" spans="1:27" x14ac:dyDescent="0.2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</row>
    <row r="550" spans="1:27" x14ac:dyDescent="0.2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</row>
    <row r="551" spans="1:27" x14ac:dyDescent="0.2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</row>
    <row r="552" spans="1:27" x14ac:dyDescent="0.2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</row>
    <row r="553" spans="1:27" x14ac:dyDescent="0.2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</row>
    <row r="554" spans="1:27" x14ac:dyDescent="0.2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</row>
    <row r="555" spans="1:27" x14ac:dyDescent="0.2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</row>
    <row r="556" spans="1:27" x14ac:dyDescent="0.2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</row>
    <row r="557" spans="1:27" x14ac:dyDescent="0.2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</row>
    <row r="558" spans="1:27" x14ac:dyDescent="0.2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</row>
    <row r="559" spans="1:27" x14ac:dyDescent="0.2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</row>
    <row r="560" spans="1:27" x14ac:dyDescent="0.2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</row>
    <row r="561" spans="1:27" x14ac:dyDescent="0.2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</row>
    <row r="562" spans="1:27" x14ac:dyDescent="0.2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</row>
    <row r="563" spans="1:27" x14ac:dyDescent="0.2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</row>
    <row r="564" spans="1:27" x14ac:dyDescent="0.2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</row>
    <row r="565" spans="1:27" x14ac:dyDescent="0.2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</row>
    <row r="566" spans="1:27" x14ac:dyDescent="0.2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</row>
    <row r="567" spans="1:27" x14ac:dyDescent="0.2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</row>
    <row r="568" spans="1:27" x14ac:dyDescent="0.2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</row>
    <row r="569" spans="1:27" x14ac:dyDescent="0.2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</row>
    <row r="570" spans="1:27" x14ac:dyDescent="0.2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</row>
    <row r="571" spans="1:27" x14ac:dyDescent="0.2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</row>
    <row r="572" spans="1:27" x14ac:dyDescent="0.2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</row>
    <row r="573" spans="1:27" x14ac:dyDescent="0.2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</row>
    <row r="574" spans="1:27" x14ac:dyDescent="0.2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</row>
    <row r="575" spans="1:27" x14ac:dyDescent="0.2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</row>
    <row r="576" spans="1:27" x14ac:dyDescent="0.2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</row>
    <row r="577" spans="1:27" x14ac:dyDescent="0.2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</row>
    <row r="578" spans="1:27" x14ac:dyDescent="0.2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</row>
    <row r="579" spans="1:27" x14ac:dyDescent="0.2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</row>
    <row r="580" spans="1:27" x14ac:dyDescent="0.2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</row>
    <row r="581" spans="1:27" x14ac:dyDescent="0.2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</row>
    <row r="582" spans="1:27" x14ac:dyDescent="0.2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</row>
    <row r="583" spans="1:27" x14ac:dyDescent="0.2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</row>
    <row r="584" spans="1:27" x14ac:dyDescent="0.2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</row>
    <row r="585" spans="1:27" x14ac:dyDescent="0.2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</row>
    <row r="586" spans="1:27" x14ac:dyDescent="0.2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</row>
    <row r="587" spans="1:27" x14ac:dyDescent="0.2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</row>
    <row r="588" spans="1:27" x14ac:dyDescent="0.2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</row>
    <row r="589" spans="1:27" x14ac:dyDescent="0.2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</row>
    <row r="590" spans="1:27" x14ac:dyDescent="0.2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</row>
    <row r="591" spans="1:27" x14ac:dyDescent="0.2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</row>
    <row r="592" spans="1:27" x14ac:dyDescent="0.2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</row>
    <row r="593" spans="1:27" x14ac:dyDescent="0.2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</row>
    <row r="594" spans="1:27" x14ac:dyDescent="0.2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</row>
    <row r="595" spans="1:27" x14ac:dyDescent="0.2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</row>
    <row r="596" spans="1:27" x14ac:dyDescent="0.2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</row>
    <row r="597" spans="1:27" x14ac:dyDescent="0.2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</row>
    <row r="598" spans="1:27" x14ac:dyDescent="0.2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</row>
    <row r="599" spans="1:27" x14ac:dyDescent="0.2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</row>
    <row r="600" spans="1:27" x14ac:dyDescent="0.2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</row>
    <row r="601" spans="1:27" x14ac:dyDescent="0.2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</row>
    <row r="602" spans="1:27" x14ac:dyDescent="0.2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</row>
    <row r="603" spans="1:27" x14ac:dyDescent="0.2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</row>
    <row r="604" spans="1:27" x14ac:dyDescent="0.2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</row>
    <row r="605" spans="1:27" x14ac:dyDescent="0.2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</row>
    <row r="606" spans="1:27" x14ac:dyDescent="0.2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</row>
    <row r="607" spans="1:27" x14ac:dyDescent="0.2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</row>
    <row r="608" spans="1:27" x14ac:dyDescent="0.2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</row>
    <row r="609" spans="1:27" x14ac:dyDescent="0.2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</row>
    <row r="610" spans="1:27" x14ac:dyDescent="0.2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</row>
    <row r="611" spans="1:27" x14ac:dyDescent="0.2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</row>
    <row r="612" spans="1:27" x14ac:dyDescent="0.2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</row>
    <row r="613" spans="1:27" x14ac:dyDescent="0.2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</row>
    <row r="614" spans="1:27" x14ac:dyDescent="0.2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</row>
    <row r="615" spans="1:27" x14ac:dyDescent="0.2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</row>
    <row r="616" spans="1:27" x14ac:dyDescent="0.2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</row>
    <row r="617" spans="1:27" x14ac:dyDescent="0.2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</row>
    <row r="618" spans="1:27" x14ac:dyDescent="0.2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</row>
    <row r="619" spans="1:27" x14ac:dyDescent="0.2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</row>
    <row r="620" spans="1:27" x14ac:dyDescent="0.2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</row>
    <row r="621" spans="1:27" x14ac:dyDescent="0.2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</row>
    <row r="622" spans="1:27" x14ac:dyDescent="0.2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</row>
    <row r="623" spans="1:27" x14ac:dyDescent="0.2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</row>
    <row r="624" spans="1:27" x14ac:dyDescent="0.2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</row>
    <row r="625" spans="1:27" x14ac:dyDescent="0.2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</row>
    <row r="626" spans="1:27" x14ac:dyDescent="0.2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</row>
    <row r="627" spans="1:27" x14ac:dyDescent="0.2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</row>
    <row r="628" spans="1:27" x14ac:dyDescent="0.2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</row>
    <row r="629" spans="1:27" x14ac:dyDescent="0.2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</row>
    <row r="630" spans="1:27" x14ac:dyDescent="0.2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</row>
    <row r="631" spans="1:27" x14ac:dyDescent="0.2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</row>
    <row r="632" spans="1:27" x14ac:dyDescent="0.2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</row>
    <row r="633" spans="1:27" x14ac:dyDescent="0.2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</row>
    <row r="634" spans="1:27" x14ac:dyDescent="0.2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</row>
    <row r="635" spans="1:27" x14ac:dyDescent="0.2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</row>
    <row r="636" spans="1:27" x14ac:dyDescent="0.25">
      <c r="D636" s="16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60" r:id="rId3" name="TextBox1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2</xdr:col>
                <xdr:colOff>895350</xdr:colOff>
                <xdr:row>5</xdr:row>
                <xdr:rowOff>190500</xdr:rowOff>
              </to>
            </anchor>
          </controlPr>
        </control>
      </mc:Choice>
      <mc:Fallback>
        <control shapeId="19460" r:id="rId3" name="TextBox1"/>
      </mc:Fallback>
    </mc:AlternateContent>
    <mc:AlternateContent xmlns:mc="http://schemas.openxmlformats.org/markup-compatibility/2006">
      <mc:Choice Requires="x14">
        <control shapeId="19457" r:id="rId5" name="Button 1">
          <controlPr defaultSize="0" print="0" autoFill="0" autoPict="0" macro="[0]!AÑO2023GUARDAR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4</xdr:col>
                <xdr:colOff>2428875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6" name="Button 2">
          <controlPr defaultSize="0" print="0" autoFill="0" autoPict="0" macro="[0]!_xlnm.Database">
            <anchor moveWithCells="1" sizeWithCells="1">
              <from>
                <xdr:col>4</xdr:col>
                <xdr:colOff>2419350</xdr:colOff>
                <xdr:row>7</xdr:row>
                <xdr:rowOff>19050</xdr:rowOff>
              </from>
              <to>
                <xdr:col>6</xdr:col>
                <xdr:colOff>19050</xdr:colOff>
                <xdr:row>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9" r:id="rId7" name="Button 3">
          <controlPr defaultSize="0" print="0" autoFill="0" autoPict="0" macro="[0]!MENU">
            <anchor moveWithCells="1" sizeWithCells="1">
              <from>
                <xdr:col>6</xdr:col>
                <xdr:colOff>19050</xdr:colOff>
                <xdr:row>7</xdr:row>
                <xdr:rowOff>28575</xdr:rowOff>
              </from>
              <to>
                <xdr:col>7</xdr:col>
                <xdr:colOff>19050</xdr:colOff>
                <xdr:row>9</xdr:row>
                <xdr:rowOff>38100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48985-0C9B-47B6-9EE9-0B713C523FE9}">
  <sheetPr codeName="Hoja13">
    <tabColor rgb="FFFF9933"/>
  </sheetPr>
  <dimension ref="A5:G119"/>
  <sheetViews>
    <sheetView workbookViewId="0">
      <selection activeCell="E7" sqref="E7"/>
    </sheetView>
  </sheetViews>
  <sheetFormatPr baseColWidth="10" defaultRowHeight="15" x14ac:dyDescent="0.25"/>
  <cols>
    <col min="1" max="1" width="51.85546875" style="42" customWidth="1"/>
    <col min="2" max="2" width="19.5703125" style="42" customWidth="1"/>
    <col min="3" max="3" width="14.7109375" style="42" customWidth="1"/>
    <col min="4" max="4" width="6.7109375" style="42" customWidth="1"/>
    <col min="5" max="5" width="34.42578125" style="42" customWidth="1"/>
    <col min="6" max="6" width="24.7109375" style="42" customWidth="1"/>
    <col min="7" max="16384" width="11.42578125" style="42"/>
  </cols>
  <sheetData>
    <row r="5" spans="1:7" ht="15.75" thickBot="1" x14ac:dyDescent="0.3"/>
    <row r="6" spans="1:7" ht="27" thickBot="1" x14ac:dyDescent="0.45">
      <c r="E6" s="3" t="s">
        <v>3</v>
      </c>
      <c r="F6" s="4" t="s">
        <v>1</v>
      </c>
      <c r="G6" s="41" t="s">
        <v>2</v>
      </c>
    </row>
    <row r="7" spans="1:7" ht="19.5" thickBot="1" x14ac:dyDescent="0.35">
      <c r="E7" s="19"/>
      <c r="F7" s="33" t="s">
        <v>335</v>
      </c>
      <c r="G7" s="26" t="s">
        <v>570</v>
      </c>
    </row>
    <row r="10" spans="1:7" ht="15.75" thickBot="1" x14ac:dyDescent="0.3"/>
    <row r="11" spans="1:7" ht="19.5" thickBot="1" x14ac:dyDescent="0.35">
      <c r="A11" s="36" t="s">
        <v>4</v>
      </c>
      <c r="B11" s="36" t="s">
        <v>1</v>
      </c>
      <c r="C11" s="36" t="s">
        <v>2</v>
      </c>
    </row>
    <row r="12" spans="1:7" ht="19.5" thickBot="1" x14ac:dyDescent="0.35">
      <c r="A12" s="19" t="s">
        <v>1463</v>
      </c>
      <c r="B12" s="33" t="s">
        <v>335</v>
      </c>
      <c r="C12" s="26" t="s">
        <v>568</v>
      </c>
    </row>
    <row r="13" spans="1:7" ht="19.5" thickBot="1" x14ac:dyDescent="0.35">
      <c r="A13" s="19" t="s">
        <v>1462</v>
      </c>
      <c r="B13" s="33" t="s">
        <v>335</v>
      </c>
      <c r="C13" s="26" t="s">
        <v>450</v>
      </c>
    </row>
    <row r="14" spans="1:7" ht="19.5" thickBot="1" x14ac:dyDescent="0.35">
      <c r="A14" s="40" t="s">
        <v>341</v>
      </c>
      <c r="B14" s="58" t="s">
        <v>335</v>
      </c>
      <c r="C14" s="38" t="s">
        <v>118</v>
      </c>
    </row>
    <row r="15" spans="1:7" ht="19.5" thickBot="1" x14ac:dyDescent="0.35">
      <c r="A15" s="40" t="s">
        <v>345</v>
      </c>
      <c r="B15" s="58" t="s">
        <v>335</v>
      </c>
      <c r="C15" s="38" t="s">
        <v>119</v>
      </c>
    </row>
    <row r="16" spans="1:7" ht="19.5" thickBot="1" x14ac:dyDescent="0.35">
      <c r="A16" s="40" t="s">
        <v>342</v>
      </c>
      <c r="B16" s="58" t="s">
        <v>335</v>
      </c>
      <c r="C16" s="38" t="s">
        <v>120</v>
      </c>
    </row>
    <row r="17" spans="1:3" ht="19.5" thickBot="1" x14ac:dyDescent="0.35">
      <c r="A17" s="40" t="s">
        <v>337</v>
      </c>
      <c r="B17" s="40" t="s">
        <v>335</v>
      </c>
      <c r="C17" s="38" t="s">
        <v>121</v>
      </c>
    </row>
    <row r="18" spans="1:3" ht="19.5" thickBot="1" x14ac:dyDescent="0.35">
      <c r="A18" s="40" t="s">
        <v>336</v>
      </c>
      <c r="B18" s="40" t="s">
        <v>335</v>
      </c>
      <c r="C18" s="38" t="s">
        <v>122</v>
      </c>
    </row>
    <row r="19" spans="1:3" ht="19.5" thickBot="1" x14ac:dyDescent="0.35">
      <c r="A19" s="40" t="s">
        <v>346</v>
      </c>
      <c r="B19" s="40" t="s">
        <v>335</v>
      </c>
      <c r="C19" s="38" t="s">
        <v>123</v>
      </c>
    </row>
    <row r="20" spans="1:3" ht="19.5" thickBot="1" x14ac:dyDescent="0.35">
      <c r="A20" s="40" t="s">
        <v>348</v>
      </c>
      <c r="B20" s="40" t="s">
        <v>335</v>
      </c>
      <c r="C20" s="38" t="s">
        <v>124</v>
      </c>
    </row>
    <row r="21" spans="1:3" ht="19.5" thickBot="1" x14ac:dyDescent="0.35">
      <c r="A21" s="40" t="s">
        <v>351</v>
      </c>
      <c r="B21" s="40" t="s">
        <v>335</v>
      </c>
      <c r="C21" s="38" t="s">
        <v>125</v>
      </c>
    </row>
    <row r="22" spans="1:3" ht="19.5" thickBot="1" x14ac:dyDescent="0.35">
      <c r="A22" s="40" t="s">
        <v>338</v>
      </c>
      <c r="B22" s="40" t="s">
        <v>335</v>
      </c>
      <c r="C22" s="38" t="s">
        <v>126</v>
      </c>
    </row>
    <row r="23" spans="1:3" ht="19.5" thickBot="1" x14ac:dyDescent="0.35">
      <c r="A23" s="40" t="s">
        <v>344</v>
      </c>
      <c r="B23" s="40" t="s">
        <v>335</v>
      </c>
      <c r="C23" s="38" t="s">
        <v>127</v>
      </c>
    </row>
    <row r="24" spans="1:3" ht="19.5" thickBot="1" x14ac:dyDescent="0.35">
      <c r="A24" s="40" t="s">
        <v>352</v>
      </c>
      <c r="B24" s="40" t="s">
        <v>335</v>
      </c>
      <c r="C24" s="38" t="s">
        <v>128</v>
      </c>
    </row>
    <row r="25" spans="1:3" ht="19.5" thickBot="1" x14ac:dyDescent="0.35">
      <c r="A25" s="40" t="s">
        <v>347</v>
      </c>
      <c r="B25" s="40" t="s">
        <v>335</v>
      </c>
      <c r="C25" s="38" t="s">
        <v>129</v>
      </c>
    </row>
    <row r="26" spans="1:3" ht="19.5" thickBot="1" x14ac:dyDescent="0.35">
      <c r="A26" s="40" t="s">
        <v>349</v>
      </c>
      <c r="B26" s="40" t="s">
        <v>335</v>
      </c>
      <c r="C26" s="38" t="s">
        <v>130</v>
      </c>
    </row>
    <row r="27" spans="1:3" ht="19.5" thickBot="1" x14ac:dyDescent="0.35">
      <c r="A27" s="40" t="s">
        <v>343</v>
      </c>
      <c r="B27" s="40" t="s">
        <v>335</v>
      </c>
      <c r="C27" s="38" t="s">
        <v>131</v>
      </c>
    </row>
    <row r="28" spans="1:3" ht="19.5" thickBot="1" x14ac:dyDescent="0.35">
      <c r="A28" s="40" t="s">
        <v>340</v>
      </c>
      <c r="B28" s="40" t="s">
        <v>335</v>
      </c>
      <c r="C28" s="38" t="s">
        <v>132</v>
      </c>
    </row>
    <row r="29" spans="1:3" ht="19.5" thickBot="1" x14ac:dyDescent="0.35">
      <c r="A29" s="40" t="s">
        <v>339</v>
      </c>
      <c r="B29" s="40" t="s">
        <v>335</v>
      </c>
      <c r="C29" s="38" t="s">
        <v>133</v>
      </c>
    </row>
    <row r="30" spans="1:3" ht="19.5" thickBot="1" x14ac:dyDescent="0.35">
      <c r="A30" s="40" t="s">
        <v>350</v>
      </c>
      <c r="B30" s="40" t="s">
        <v>335</v>
      </c>
      <c r="C30" s="38" t="s">
        <v>134</v>
      </c>
    </row>
    <row r="31" spans="1:3" ht="19.5" thickBot="1" x14ac:dyDescent="0.35">
      <c r="A31" s="40" t="s">
        <v>353</v>
      </c>
      <c r="B31" s="40" t="s">
        <v>335</v>
      </c>
      <c r="C31" s="38" t="s">
        <v>135</v>
      </c>
    </row>
    <row r="32" spans="1:3" ht="19.5" thickBot="1" x14ac:dyDescent="0.35">
      <c r="A32" s="25" t="s">
        <v>359</v>
      </c>
      <c r="B32" s="25" t="s">
        <v>335</v>
      </c>
      <c r="C32" s="38" t="s">
        <v>136</v>
      </c>
    </row>
    <row r="33" spans="1:3" ht="19.5" thickBot="1" x14ac:dyDescent="0.35">
      <c r="A33" s="25" t="s">
        <v>360</v>
      </c>
      <c r="B33" s="25" t="s">
        <v>335</v>
      </c>
      <c r="C33" s="38" t="s">
        <v>137</v>
      </c>
    </row>
    <row r="34" spans="1:3" ht="19.5" thickBot="1" x14ac:dyDescent="0.35">
      <c r="A34" s="25" t="s">
        <v>361</v>
      </c>
      <c r="B34" s="25" t="s">
        <v>335</v>
      </c>
      <c r="C34" s="38" t="s">
        <v>138</v>
      </c>
    </row>
    <row r="35" spans="1:3" ht="19.5" thickBot="1" x14ac:dyDescent="0.35">
      <c r="A35" s="25" t="s">
        <v>362</v>
      </c>
      <c r="B35" s="25" t="s">
        <v>335</v>
      </c>
      <c r="C35" s="38" t="s">
        <v>139</v>
      </c>
    </row>
    <row r="36" spans="1:3" ht="19.5" thickBot="1" x14ac:dyDescent="0.35">
      <c r="A36" s="25" t="s">
        <v>363</v>
      </c>
      <c r="B36" s="25" t="s">
        <v>335</v>
      </c>
      <c r="C36" s="38" t="s">
        <v>140</v>
      </c>
    </row>
    <row r="37" spans="1:3" ht="19.5" thickBot="1" x14ac:dyDescent="0.35">
      <c r="A37" s="25" t="s">
        <v>364</v>
      </c>
      <c r="B37" s="25" t="s">
        <v>335</v>
      </c>
      <c r="C37" s="38" t="s">
        <v>141</v>
      </c>
    </row>
    <row r="38" spans="1:3" ht="19.5" thickBot="1" x14ac:dyDescent="0.35">
      <c r="A38" s="25" t="s">
        <v>365</v>
      </c>
      <c r="B38" s="25" t="s">
        <v>335</v>
      </c>
      <c r="C38" s="38" t="s">
        <v>142</v>
      </c>
    </row>
    <row r="39" spans="1:3" ht="19.5" thickBot="1" x14ac:dyDescent="0.35">
      <c r="A39" s="25" t="s">
        <v>366</v>
      </c>
      <c r="B39" s="25" t="s">
        <v>335</v>
      </c>
      <c r="C39" s="38" t="s">
        <v>143</v>
      </c>
    </row>
    <row r="40" spans="1:3" ht="19.5" thickBot="1" x14ac:dyDescent="0.35">
      <c r="A40" s="25" t="s">
        <v>367</v>
      </c>
      <c r="B40" s="25" t="s">
        <v>335</v>
      </c>
      <c r="C40" s="38" t="s">
        <v>144</v>
      </c>
    </row>
    <row r="41" spans="1:3" ht="19.5" thickBot="1" x14ac:dyDescent="0.35">
      <c r="A41" s="25" t="s">
        <v>368</v>
      </c>
      <c r="B41" s="25" t="s">
        <v>335</v>
      </c>
      <c r="C41" s="38" t="s">
        <v>145</v>
      </c>
    </row>
    <row r="42" spans="1:3" ht="19.5" thickBot="1" x14ac:dyDescent="0.35">
      <c r="A42" s="19" t="s">
        <v>369</v>
      </c>
      <c r="B42" s="25" t="s">
        <v>335</v>
      </c>
      <c r="C42" s="38" t="s">
        <v>146</v>
      </c>
    </row>
    <row r="43" spans="1:3" ht="19.5" thickBot="1" x14ac:dyDescent="0.35">
      <c r="A43" s="19" t="s">
        <v>370</v>
      </c>
      <c r="B43" s="25" t="s">
        <v>335</v>
      </c>
      <c r="C43" s="38" t="s">
        <v>147</v>
      </c>
    </row>
    <row r="44" spans="1:3" ht="19.5" thickBot="1" x14ac:dyDescent="0.35">
      <c r="A44" s="19" t="s">
        <v>371</v>
      </c>
      <c r="B44" s="25" t="s">
        <v>335</v>
      </c>
      <c r="C44" s="38" t="s">
        <v>148</v>
      </c>
    </row>
    <row r="45" spans="1:3" ht="19.5" thickBot="1" x14ac:dyDescent="0.35">
      <c r="A45" s="19" t="s">
        <v>372</v>
      </c>
      <c r="B45" s="25" t="s">
        <v>335</v>
      </c>
      <c r="C45" s="38" t="s">
        <v>149</v>
      </c>
    </row>
    <row r="46" spans="1:3" ht="19.5" thickBot="1" x14ac:dyDescent="0.35">
      <c r="A46" s="19" t="s">
        <v>373</v>
      </c>
      <c r="B46" s="25" t="s">
        <v>335</v>
      </c>
      <c r="C46" s="38" t="s">
        <v>150</v>
      </c>
    </row>
    <row r="47" spans="1:3" ht="19.5" thickBot="1" x14ac:dyDescent="0.35">
      <c r="A47" s="19" t="s">
        <v>374</v>
      </c>
      <c r="B47" s="25" t="s">
        <v>335</v>
      </c>
      <c r="C47" s="38" t="s">
        <v>151</v>
      </c>
    </row>
    <row r="48" spans="1:3" ht="19.5" thickBot="1" x14ac:dyDescent="0.35">
      <c r="A48" s="19" t="s">
        <v>375</v>
      </c>
      <c r="B48" s="25" t="s">
        <v>335</v>
      </c>
      <c r="C48" s="38" t="s">
        <v>152</v>
      </c>
    </row>
    <row r="49" spans="1:3" ht="19.5" thickBot="1" x14ac:dyDescent="0.35">
      <c r="A49" s="19" t="s">
        <v>376</v>
      </c>
      <c r="B49" s="25" t="s">
        <v>335</v>
      </c>
      <c r="C49" s="38" t="s">
        <v>153</v>
      </c>
    </row>
    <row r="50" spans="1:3" ht="19.5" thickBot="1" x14ac:dyDescent="0.35">
      <c r="A50" s="19" t="s">
        <v>377</v>
      </c>
      <c r="B50" s="25" t="s">
        <v>335</v>
      </c>
      <c r="C50" s="38" t="s">
        <v>154</v>
      </c>
    </row>
    <row r="51" spans="1:3" ht="19.5" thickBot="1" x14ac:dyDescent="0.35">
      <c r="A51" s="19" t="s">
        <v>378</v>
      </c>
      <c r="B51" s="25" t="s">
        <v>335</v>
      </c>
      <c r="C51" s="38" t="s">
        <v>155</v>
      </c>
    </row>
    <row r="52" spans="1:3" ht="19.5" thickBot="1" x14ac:dyDescent="0.35">
      <c r="A52" s="19" t="s">
        <v>379</v>
      </c>
      <c r="B52" s="25" t="s">
        <v>335</v>
      </c>
      <c r="C52" s="38" t="s">
        <v>156</v>
      </c>
    </row>
    <row r="53" spans="1:3" ht="19.5" thickBot="1" x14ac:dyDescent="0.35">
      <c r="A53" s="19" t="s">
        <v>380</v>
      </c>
      <c r="B53" s="25" t="s">
        <v>335</v>
      </c>
      <c r="C53" s="38" t="s">
        <v>157</v>
      </c>
    </row>
    <row r="54" spans="1:3" ht="19.5" thickBot="1" x14ac:dyDescent="0.35">
      <c r="A54" s="19" t="s">
        <v>381</v>
      </c>
      <c r="B54" s="25" t="s">
        <v>335</v>
      </c>
      <c r="C54" s="38" t="s">
        <v>158</v>
      </c>
    </row>
    <row r="55" spans="1:3" ht="19.5" thickBot="1" x14ac:dyDescent="0.35">
      <c r="A55" s="19" t="s">
        <v>382</v>
      </c>
      <c r="B55" s="25" t="s">
        <v>335</v>
      </c>
      <c r="C55" s="38" t="s">
        <v>159</v>
      </c>
    </row>
    <row r="56" spans="1:3" ht="19.5" thickBot="1" x14ac:dyDescent="0.35">
      <c r="A56" s="19" t="s">
        <v>383</v>
      </c>
      <c r="B56" s="25" t="s">
        <v>335</v>
      </c>
      <c r="C56" s="38" t="s">
        <v>160</v>
      </c>
    </row>
    <row r="57" spans="1:3" ht="19.5" thickBot="1" x14ac:dyDescent="0.35">
      <c r="A57" s="19" t="s">
        <v>384</v>
      </c>
      <c r="B57" s="25" t="s">
        <v>335</v>
      </c>
      <c r="C57" s="38" t="s">
        <v>161</v>
      </c>
    </row>
    <row r="58" spans="1:3" ht="19.5" thickBot="1" x14ac:dyDescent="0.35">
      <c r="A58" s="19" t="s">
        <v>385</v>
      </c>
      <c r="B58" s="25" t="s">
        <v>335</v>
      </c>
      <c r="C58" s="38" t="s">
        <v>162</v>
      </c>
    </row>
    <row r="59" spans="1:3" ht="19.5" thickBot="1" x14ac:dyDescent="0.35">
      <c r="A59" s="19" t="s">
        <v>386</v>
      </c>
      <c r="B59" s="25" t="s">
        <v>335</v>
      </c>
      <c r="C59" s="38" t="s">
        <v>163</v>
      </c>
    </row>
    <row r="60" spans="1:3" ht="19.5" thickBot="1" x14ac:dyDescent="0.35">
      <c r="A60" s="19" t="s">
        <v>387</v>
      </c>
      <c r="B60" s="25" t="s">
        <v>335</v>
      </c>
      <c r="C60" s="38" t="s">
        <v>164</v>
      </c>
    </row>
    <row r="61" spans="1:3" ht="19.5" thickBot="1" x14ac:dyDescent="0.35">
      <c r="A61" s="19" t="s">
        <v>388</v>
      </c>
      <c r="B61" s="25" t="s">
        <v>335</v>
      </c>
      <c r="C61" s="38" t="s">
        <v>165</v>
      </c>
    </row>
    <row r="62" spans="1:3" ht="19.5" thickBot="1" x14ac:dyDescent="0.35">
      <c r="A62" s="19" t="s">
        <v>389</v>
      </c>
      <c r="B62" s="25" t="s">
        <v>335</v>
      </c>
      <c r="C62" s="38" t="s">
        <v>166</v>
      </c>
    </row>
    <row r="63" spans="1:3" ht="19.5" thickBot="1" x14ac:dyDescent="0.35">
      <c r="A63" s="19" t="s">
        <v>390</v>
      </c>
      <c r="B63" s="25" t="s">
        <v>335</v>
      </c>
      <c r="C63" s="38" t="s">
        <v>167</v>
      </c>
    </row>
    <row r="64" spans="1:3" ht="19.5" thickBot="1" x14ac:dyDescent="0.35">
      <c r="A64" s="19" t="s">
        <v>391</v>
      </c>
      <c r="B64" s="25" t="s">
        <v>335</v>
      </c>
      <c r="C64" s="38" t="s">
        <v>168</v>
      </c>
    </row>
    <row r="65" spans="1:3" ht="19.5" thickBot="1" x14ac:dyDescent="0.35">
      <c r="A65" s="19" t="s">
        <v>392</v>
      </c>
      <c r="B65" s="25" t="s">
        <v>335</v>
      </c>
      <c r="C65" s="38" t="s">
        <v>169</v>
      </c>
    </row>
    <row r="66" spans="1:3" ht="19.5" thickBot="1" x14ac:dyDescent="0.35">
      <c r="A66" s="19" t="s">
        <v>393</v>
      </c>
      <c r="B66" s="25" t="s">
        <v>335</v>
      </c>
      <c r="C66" s="38" t="s">
        <v>170</v>
      </c>
    </row>
    <row r="67" spans="1:3" ht="19.5" thickBot="1" x14ac:dyDescent="0.35">
      <c r="A67" s="19" t="s">
        <v>394</v>
      </c>
      <c r="B67" s="25" t="s">
        <v>335</v>
      </c>
      <c r="C67" s="38" t="s">
        <v>171</v>
      </c>
    </row>
    <row r="68" spans="1:3" ht="19.5" thickBot="1" x14ac:dyDescent="0.35">
      <c r="A68" s="19" t="s">
        <v>395</v>
      </c>
      <c r="B68" s="25" t="s">
        <v>335</v>
      </c>
      <c r="C68" s="38" t="s">
        <v>172</v>
      </c>
    </row>
    <row r="69" spans="1:3" ht="19.5" thickBot="1" x14ac:dyDescent="0.35">
      <c r="A69" s="19" t="s">
        <v>396</v>
      </c>
      <c r="B69" s="25" t="s">
        <v>335</v>
      </c>
      <c r="C69" s="38" t="s">
        <v>173</v>
      </c>
    </row>
    <row r="70" spans="1:3" ht="19.5" thickBot="1" x14ac:dyDescent="0.35">
      <c r="A70" s="19" t="s">
        <v>397</v>
      </c>
      <c r="B70" s="25" t="s">
        <v>335</v>
      </c>
      <c r="C70" s="38" t="s">
        <v>174</v>
      </c>
    </row>
    <row r="71" spans="1:3" ht="19.5" thickBot="1" x14ac:dyDescent="0.35">
      <c r="A71" s="19" t="s">
        <v>398</v>
      </c>
      <c r="B71" s="25" t="s">
        <v>335</v>
      </c>
      <c r="C71" s="38" t="s">
        <v>175</v>
      </c>
    </row>
    <row r="72" spans="1:3" ht="19.5" thickBot="1" x14ac:dyDescent="0.35">
      <c r="A72" s="19" t="s">
        <v>399</v>
      </c>
      <c r="B72" s="25" t="s">
        <v>335</v>
      </c>
      <c r="C72" s="38" t="s">
        <v>176</v>
      </c>
    </row>
    <row r="73" spans="1:3" ht="19.5" thickBot="1" x14ac:dyDescent="0.35">
      <c r="A73" s="19" t="s">
        <v>400</v>
      </c>
      <c r="B73" s="25" t="s">
        <v>335</v>
      </c>
      <c r="C73" s="38" t="s">
        <v>278</v>
      </c>
    </row>
    <row r="74" spans="1:3" ht="19.5" thickBot="1" x14ac:dyDescent="0.35">
      <c r="A74" s="19" t="s">
        <v>401</v>
      </c>
      <c r="B74" s="25" t="s">
        <v>335</v>
      </c>
      <c r="C74" s="38" t="s">
        <v>279</v>
      </c>
    </row>
    <row r="75" spans="1:3" ht="19.5" thickBot="1" x14ac:dyDescent="0.35">
      <c r="A75" s="19" t="s">
        <v>402</v>
      </c>
      <c r="B75" s="25" t="s">
        <v>335</v>
      </c>
      <c r="C75" s="38" t="s">
        <v>280</v>
      </c>
    </row>
    <row r="76" spans="1:3" ht="19.5" thickBot="1" x14ac:dyDescent="0.35">
      <c r="A76" s="19" t="s">
        <v>403</v>
      </c>
      <c r="B76" s="25" t="s">
        <v>335</v>
      </c>
      <c r="C76" s="38" t="s">
        <v>281</v>
      </c>
    </row>
    <row r="77" spans="1:3" ht="19.5" thickBot="1" x14ac:dyDescent="0.35">
      <c r="A77" s="19" t="s">
        <v>404</v>
      </c>
      <c r="B77" s="25" t="s">
        <v>335</v>
      </c>
      <c r="C77" s="38" t="s">
        <v>282</v>
      </c>
    </row>
    <row r="78" spans="1:3" ht="19.5" thickBot="1" x14ac:dyDescent="0.35">
      <c r="A78" s="19" t="s">
        <v>405</v>
      </c>
      <c r="B78" s="25" t="s">
        <v>335</v>
      </c>
      <c r="C78" s="38" t="s">
        <v>283</v>
      </c>
    </row>
    <row r="79" spans="1:3" ht="19.5" thickBot="1" x14ac:dyDescent="0.35">
      <c r="A79" s="19" t="s">
        <v>406</v>
      </c>
      <c r="B79" s="25" t="s">
        <v>335</v>
      </c>
      <c r="C79" s="38" t="s">
        <v>284</v>
      </c>
    </row>
    <row r="80" spans="1:3" ht="19.5" thickBot="1" x14ac:dyDescent="0.35">
      <c r="A80" s="19" t="s">
        <v>407</v>
      </c>
      <c r="B80" s="25" t="s">
        <v>335</v>
      </c>
      <c r="C80" s="38" t="s">
        <v>285</v>
      </c>
    </row>
    <row r="81" spans="1:3" ht="19.5" thickBot="1" x14ac:dyDescent="0.35">
      <c r="A81" s="19" t="s">
        <v>408</v>
      </c>
      <c r="B81" s="25" t="s">
        <v>335</v>
      </c>
      <c r="C81" s="38" t="s">
        <v>286</v>
      </c>
    </row>
    <row r="82" spans="1:3" ht="19.5" thickBot="1" x14ac:dyDescent="0.35">
      <c r="A82" s="19" t="s">
        <v>409</v>
      </c>
      <c r="B82" s="25" t="s">
        <v>335</v>
      </c>
      <c r="C82" s="38" t="s">
        <v>287</v>
      </c>
    </row>
    <row r="83" spans="1:3" ht="19.5" thickBot="1" x14ac:dyDescent="0.35">
      <c r="A83" s="19" t="s">
        <v>410</v>
      </c>
      <c r="B83" s="25" t="s">
        <v>335</v>
      </c>
      <c r="C83" s="38" t="s">
        <v>288</v>
      </c>
    </row>
    <row r="84" spans="1:3" ht="19.5" thickBot="1" x14ac:dyDescent="0.35">
      <c r="A84" s="19" t="s">
        <v>411</v>
      </c>
      <c r="B84" s="25" t="s">
        <v>335</v>
      </c>
      <c r="C84" s="38" t="s">
        <v>289</v>
      </c>
    </row>
    <row r="85" spans="1:3" ht="19.5" thickBot="1" x14ac:dyDescent="0.35">
      <c r="A85" s="19" t="s">
        <v>412</v>
      </c>
      <c r="B85" s="25" t="s">
        <v>335</v>
      </c>
      <c r="C85" s="38" t="s">
        <v>290</v>
      </c>
    </row>
    <row r="86" spans="1:3" ht="19.5" thickBot="1" x14ac:dyDescent="0.35">
      <c r="A86" s="19" t="s">
        <v>413</v>
      </c>
      <c r="B86" s="25" t="s">
        <v>335</v>
      </c>
      <c r="C86" s="38" t="s">
        <v>291</v>
      </c>
    </row>
    <row r="87" spans="1:3" ht="19.5" thickBot="1" x14ac:dyDescent="0.35">
      <c r="A87" s="19" t="s">
        <v>414</v>
      </c>
      <c r="B87" s="25" t="s">
        <v>335</v>
      </c>
      <c r="C87" s="38" t="s">
        <v>292</v>
      </c>
    </row>
    <row r="88" spans="1:3" ht="19.5" thickBot="1" x14ac:dyDescent="0.35">
      <c r="A88" s="19" t="s">
        <v>415</v>
      </c>
      <c r="B88" s="25" t="s">
        <v>335</v>
      </c>
      <c r="C88" s="38" t="s">
        <v>293</v>
      </c>
    </row>
    <row r="89" spans="1:3" ht="19.5" thickBot="1" x14ac:dyDescent="0.35">
      <c r="A89" s="19" t="s">
        <v>416</v>
      </c>
      <c r="B89" s="25" t="s">
        <v>335</v>
      </c>
      <c r="C89" s="38" t="s">
        <v>294</v>
      </c>
    </row>
    <row r="90" spans="1:3" ht="19.5" thickBot="1" x14ac:dyDescent="0.35">
      <c r="A90" s="19" t="s">
        <v>417</v>
      </c>
      <c r="B90" s="25" t="s">
        <v>335</v>
      </c>
      <c r="C90" s="38" t="s">
        <v>295</v>
      </c>
    </row>
    <row r="91" spans="1:3" ht="19.5" thickBot="1" x14ac:dyDescent="0.35">
      <c r="A91" s="19" t="s">
        <v>418</v>
      </c>
      <c r="B91" s="25" t="s">
        <v>335</v>
      </c>
      <c r="C91" s="38" t="s">
        <v>296</v>
      </c>
    </row>
    <row r="92" spans="1:3" ht="19.5" thickBot="1" x14ac:dyDescent="0.35">
      <c r="A92" s="19" t="s">
        <v>419</v>
      </c>
      <c r="B92" s="25" t="s">
        <v>335</v>
      </c>
      <c r="C92" s="38" t="s">
        <v>297</v>
      </c>
    </row>
    <row r="93" spans="1:3" ht="19.5" thickBot="1" x14ac:dyDescent="0.35">
      <c r="A93" s="19" t="s">
        <v>420</v>
      </c>
      <c r="B93" s="25" t="s">
        <v>335</v>
      </c>
      <c r="C93" s="38" t="s">
        <v>298</v>
      </c>
    </row>
    <row r="94" spans="1:3" ht="19.5" thickBot="1" x14ac:dyDescent="0.35">
      <c r="A94" s="19" t="s">
        <v>421</v>
      </c>
      <c r="B94" s="25" t="s">
        <v>335</v>
      </c>
      <c r="C94" s="38" t="s">
        <v>299</v>
      </c>
    </row>
    <row r="95" spans="1:3" ht="19.5" thickBot="1" x14ac:dyDescent="0.35">
      <c r="A95" s="19" t="s">
        <v>422</v>
      </c>
      <c r="B95" s="25" t="s">
        <v>335</v>
      </c>
      <c r="C95" s="38" t="s">
        <v>300</v>
      </c>
    </row>
    <row r="96" spans="1:3" ht="19.5" thickBot="1" x14ac:dyDescent="0.35">
      <c r="A96" s="19" t="s">
        <v>423</v>
      </c>
      <c r="B96" s="25" t="s">
        <v>335</v>
      </c>
      <c r="C96" s="38" t="s">
        <v>301</v>
      </c>
    </row>
    <row r="97" spans="1:3" ht="19.5" thickBot="1" x14ac:dyDescent="0.35">
      <c r="A97" s="19" t="s">
        <v>424</v>
      </c>
      <c r="B97" s="25" t="s">
        <v>335</v>
      </c>
      <c r="C97" s="38" t="s">
        <v>302</v>
      </c>
    </row>
    <row r="98" spans="1:3" ht="19.5" thickBot="1" x14ac:dyDescent="0.35">
      <c r="A98" s="19" t="s">
        <v>425</v>
      </c>
      <c r="B98" s="25" t="s">
        <v>335</v>
      </c>
      <c r="C98" s="38" t="s">
        <v>303</v>
      </c>
    </row>
    <row r="99" spans="1:3" ht="19.5" thickBot="1" x14ac:dyDescent="0.35">
      <c r="A99" s="19" t="s">
        <v>426</v>
      </c>
      <c r="B99" s="25" t="s">
        <v>335</v>
      </c>
      <c r="C99" s="38" t="s">
        <v>304</v>
      </c>
    </row>
    <row r="100" spans="1:3" ht="19.5" thickBot="1" x14ac:dyDescent="0.35">
      <c r="A100" s="19" t="s">
        <v>427</v>
      </c>
      <c r="B100" s="25" t="s">
        <v>335</v>
      </c>
      <c r="C100" s="38" t="s">
        <v>305</v>
      </c>
    </row>
    <row r="101" spans="1:3" ht="19.5" thickBot="1" x14ac:dyDescent="0.35">
      <c r="A101" s="19" t="s">
        <v>428</v>
      </c>
      <c r="B101" s="25" t="s">
        <v>335</v>
      </c>
      <c r="C101" s="38" t="s">
        <v>306</v>
      </c>
    </row>
    <row r="102" spans="1:3" ht="19.5" thickBot="1" x14ac:dyDescent="0.35">
      <c r="A102" s="19" t="s">
        <v>429</v>
      </c>
      <c r="B102" s="25" t="s">
        <v>335</v>
      </c>
      <c r="C102" s="38" t="s">
        <v>307</v>
      </c>
    </row>
    <row r="103" spans="1:3" ht="19.5" thickBot="1" x14ac:dyDescent="0.35">
      <c r="A103" s="19" t="s">
        <v>430</v>
      </c>
      <c r="B103" s="25" t="s">
        <v>335</v>
      </c>
      <c r="C103" s="38" t="s">
        <v>308</v>
      </c>
    </row>
    <row r="104" spans="1:3" ht="19.5" thickBot="1" x14ac:dyDescent="0.35">
      <c r="A104" s="19" t="s">
        <v>431</v>
      </c>
      <c r="B104" s="25" t="s">
        <v>335</v>
      </c>
      <c r="C104" s="38" t="s">
        <v>309</v>
      </c>
    </row>
    <row r="105" spans="1:3" ht="19.5" thickBot="1" x14ac:dyDescent="0.35">
      <c r="A105" s="19" t="s">
        <v>432</v>
      </c>
      <c r="B105" s="25" t="s">
        <v>335</v>
      </c>
      <c r="C105" s="38" t="s">
        <v>310</v>
      </c>
    </row>
    <row r="106" spans="1:3" ht="19.5" thickBot="1" x14ac:dyDescent="0.35">
      <c r="A106" s="19" t="s">
        <v>433</v>
      </c>
      <c r="B106" s="25" t="s">
        <v>335</v>
      </c>
      <c r="C106" s="38" t="s">
        <v>311</v>
      </c>
    </row>
    <row r="107" spans="1:3" ht="19.5" thickBot="1" x14ac:dyDescent="0.35">
      <c r="A107" s="19" t="s">
        <v>434</v>
      </c>
      <c r="B107" s="25" t="s">
        <v>335</v>
      </c>
      <c r="C107" s="38" t="s">
        <v>312</v>
      </c>
    </row>
    <row r="108" spans="1:3" ht="19.5" thickBot="1" x14ac:dyDescent="0.35">
      <c r="A108" s="19" t="s">
        <v>435</v>
      </c>
      <c r="B108" s="25" t="s">
        <v>335</v>
      </c>
      <c r="C108" s="38" t="s">
        <v>313</v>
      </c>
    </row>
    <row r="109" spans="1:3" ht="19.5" thickBot="1" x14ac:dyDescent="0.35">
      <c r="A109" s="19" t="s">
        <v>436</v>
      </c>
      <c r="B109" s="25" t="s">
        <v>335</v>
      </c>
      <c r="C109" s="38" t="s">
        <v>314</v>
      </c>
    </row>
    <row r="110" spans="1:3" ht="19.5" thickBot="1" x14ac:dyDescent="0.35">
      <c r="A110" s="19" t="s">
        <v>437</v>
      </c>
      <c r="B110" s="25" t="s">
        <v>335</v>
      </c>
      <c r="C110" s="38" t="s">
        <v>315</v>
      </c>
    </row>
    <row r="111" spans="1:3" ht="19.5" thickBot="1" x14ac:dyDescent="0.35">
      <c r="A111" s="19" t="s">
        <v>438</v>
      </c>
      <c r="B111" s="25" t="s">
        <v>335</v>
      </c>
      <c r="C111" s="38" t="s">
        <v>316</v>
      </c>
    </row>
    <row r="112" spans="1:3" ht="19.5" thickBot="1" x14ac:dyDescent="0.35">
      <c r="A112" s="19" t="s">
        <v>439</v>
      </c>
      <c r="B112" s="25" t="s">
        <v>335</v>
      </c>
      <c r="C112" s="38" t="s">
        <v>317</v>
      </c>
    </row>
    <row r="113" spans="1:3" ht="19.5" thickBot="1" x14ac:dyDescent="0.35">
      <c r="A113" s="19" t="s">
        <v>440</v>
      </c>
      <c r="B113" s="25" t="s">
        <v>335</v>
      </c>
      <c r="C113" s="38" t="s">
        <v>318</v>
      </c>
    </row>
    <row r="114" spans="1:3" ht="19.5" thickBot="1" x14ac:dyDescent="0.35">
      <c r="A114" s="19" t="s">
        <v>441</v>
      </c>
      <c r="B114" s="25" t="s">
        <v>335</v>
      </c>
      <c r="C114" s="38" t="s">
        <v>319</v>
      </c>
    </row>
    <row r="115" spans="1:3" ht="19.5" thickBot="1" x14ac:dyDescent="0.35">
      <c r="A115" s="19" t="s">
        <v>442</v>
      </c>
      <c r="B115" s="25" t="s">
        <v>335</v>
      </c>
      <c r="C115" s="38" t="s">
        <v>443</v>
      </c>
    </row>
    <row r="116" spans="1:3" ht="19.5" thickBot="1" x14ac:dyDescent="0.35">
      <c r="A116" s="19" t="s">
        <v>445</v>
      </c>
      <c r="B116" s="25" t="s">
        <v>335</v>
      </c>
      <c r="C116" s="26" t="s">
        <v>444</v>
      </c>
    </row>
    <row r="117" spans="1:3" ht="19.5" thickBot="1" x14ac:dyDescent="0.35">
      <c r="A117" s="19" t="s">
        <v>447</v>
      </c>
      <c r="B117" s="25" t="s">
        <v>335</v>
      </c>
      <c r="C117" s="26" t="s">
        <v>446</v>
      </c>
    </row>
    <row r="118" spans="1:3" ht="19.5" thickBot="1" x14ac:dyDescent="0.35">
      <c r="A118" s="19" t="s">
        <v>449</v>
      </c>
      <c r="B118" s="25" t="s">
        <v>335</v>
      </c>
      <c r="C118" s="26" t="s">
        <v>448</v>
      </c>
    </row>
    <row r="119" spans="1:3" ht="18.75" x14ac:dyDescent="0.3">
      <c r="A119" s="34" t="s">
        <v>9</v>
      </c>
      <c r="B119" s="34"/>
      <c r="C119" s="29">
        <f>SUBTOTAL(103,TABLAAÑO2024[FICHA])</f>
        <v>107</v>
      </c>
    </row>
  </sheetData>
  <autoFilter ref="E6:G7" xr:uid="{9A748985-0C9B-47B6-9EE9-0B713C523FE9}">
    <sortState xmlns:xlrd2="http://schemas.microsoft.com/office/spreadsheetml/2017/richdata2" ref="E7:G7">
      <sortCondition ref="G7"/>
    </sortState>
  </autoFilter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4" r:id="rId3" name="TextBox1">
          <controlPr defaultSize="0" autoLine="0" r:id="rId4">
            <anchor moveWithCells="1">
              <from>
                <xdr:col>0</xdr:col>
                <xdr:colOff>0</xdr:colOff>
                <xdr:row>3</xdr:row>
                <xdr:rowOff>180975</xdr:rowOff>
              </from>
              <to>
                <xdr:col>2</xdr:col>
                <xdr:colOff>923925</xdr:colOff>
                <xdr:row>5</xdr:row>
                <xdr:rowOff>161925</xdr:rowOff>
              </to>
            </anchor>
          </controlPr>
        </control>
      </mc:Choice>
      <mc:Fallback>
        <control shapeId="20484" r:id="rId3" name="TextBox1"/>
      </mc:Fallback>
    </mc:AlternateContent>
    <mc:AlternateContent xmlns:mc="http://schemas.openxmlformats.org/markup-compatibility/2006">
      <mc:Choice Requires="x14">
        <control shapeId="20481" r:id="rId5" name="Button 1">
          <controlPr defaultSize="0" print="0" autoFill="0" autoPict="0" macro="[0]!AÑO2024">
            <anchor moveWithCells="1" sizeWithCells="1">
              <from>
                <xdr:col>3</xdr:col>
                <xdr:colOff>438150</xdr:colOff>
                <xdr:row>7</xdr:row>
                <xdr:rowOff>9525</xdr:rowOff>
              </from>
              <to>
                <xdr:col>5</xdr:col>
                <xdr:colOff>9525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82" r:id="rId6" name="Button 2">
          <controlPr defaultSize="0" print="0" autoFill="0" autoPict="0" macro="[0]!_xlnm.Database">
            <anchor moveWithCells="1" siz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83" r:id="rId7" name="Button 3">
          <controlPr defaultSize="0" print="0" autoFill="0" autoPict="0" macro="[0]!MENU">
            <anchor moveWithCells="1" sizeWithCells="1">
              <from>
                <xdr:col>6</xdr:col>
                <xdr:colOff>9525</xdr:colOff>
                <xdr:row>7</xdr:row>
                <xdr:rowOff>9525</xdr:rowOff>
              </from>
              <to>
                <xdr:col>6</xdr:col>
                <xdr:colOff>752475</xdr:colOff>
                <xdr:row>9</xdr:row>
                <xdr:rowOff>9525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7F0C2-FA67-436F-9867-F430486059E5}">
  <sheetPr codeName="Hoja3">
    <tabColor theme="7"/>
  </sheetPr>
  <dimension ref="A1:P1614"/>
  <sheetViews>
    <sheetView showGridLines="0" tabSelected="1" workbookViewId="0">
      <selection activeCell="F7" sqref="F7"/>
    </sheetView>
  </sheetViews>
  <sheetFormatPr baseColWidth="10" defaultRowHeight="15" x14ac:dyDescent="0.25"/>
  <cols>
    <col min="1" max="3" width="11.42578125" style="1"/>
    <col min="4" max="4" width="52.7109375" customWidth="1"/>
    <col min="5" max="5" width="17" customWidth="1"/>
    <col min="6" max="6" width="10.42578125" customWidth="1"/>
  </cols>
  <sheetData>
    <row r="1" spans="4:16" x14ac:dyDescent="0.25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4:16" x14ac:dyDescent="0.25"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4:16" x14ac:dyDescent="0.25"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4:16" x14ac:dyDescent="0.25"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4:16" x14ac:dyDescent="0.25"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4:16" ht="19.5" thickBot="1" x14ac:dyDescent="0.35">
      <c r="D6" s="37" t="s">
        <v>0</v>
      </c>
      <c r="E6" s="37" t="s">
        <v>1</v>
      </c>
      <c r="F6" s="37" t="s">
        <v>2</v>
      </c>
      <c r="G6" s="1"/>
      <c r="H6" s="1"/>
      <c r="I6" s="1"/>
      <c r="J6" s="1"/>
      <c r="K6" s="1"/>
      <c r="L6" s="1"/>
      <c r="M6" s="1"/>
      <c r="N6" s="1"/>
      <c r="O6" s="1"/>
      <c r="P6" s="1"/>
    </row>
    <row r="7" spans="4:16" ht="19.5" thickBot="1" x14ac:dyDescent="0.35">
      <c r="D7" s="25" t="s">
        <v>332</v>
      </c>
      <c r="E7" s="33" t="s">
        <v>320</v>
      </c>
      <c r="F7" s="24" t="s">
        <v>118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4:16" ht="19.5" thickBot="1" x14ac:dyDescent="0.35">
      <c r="D8" s="25" t="s">
        <v>257</v>
      </c>
      <c r="E8" s="33" t="s">
        <v>117</v>
      </c>
      <c r="F8" s="26" t="s">
        <v>118</v>
      </c>
      <c r="G8" s="1"/>
      <c r="H8" s="1"/>
      <c r="I8" s="1"/>
      <c r="J8" s="1"/>
      <c r="K8" s="1"/>
      <c r="L8" s="1"/>
      <c r="M8" s="1"/>
      <c r="N8" s="1"/>
      <c r="O8" s="1"/>
      <c r="P8" s="1"/>
    </row>
    <row r="9" spans="4:16" ht="19.5" hidden="1" thickBot="1" x14ac:dyDescent="0.35">
      <c r="D9" s="25"/>
      <c r="E9" s="24" t="s">
        <v>26</v>
      </c>
      <c r="F9" s="60" t="s">
        <v>122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4:16" ht="19.5" thickBot="1" x14ac:dyDescent="0.35">
      <c r="D10" s="25" t="s">
        <v>115</v>
      </c>
      <c r="E10" s="24" t="s">
        <v>58</v>
      </c>
      <c r="F10" s="60" t="s">
        <v>118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4:16" ht="19.5" thickBot="1" x14ac:dyDescent="0.35">
      <c r="D11" s="25" t="s">
        <v>43</v>
      </c>
      <c r="E11" s="33" t="s">
        <v>31</v>
      </c>
      <c r="F11" s="24" t="s">
        <v>118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4:16" ht="19.5" hidden="1" thickBot="1" x14ac:dyDescent="0.35">
      <c r="D12" s="25"/>
      <c r="E12" s="24" t="s">
        <v>26</v>
      </c>
      <c r="F12" s="60" t="s">
        <v>121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4:16" ht="19.5" hidden="1" thickBot="1" x14ac:dyDescent="0.35">
      <c r="D13" s="25"/>
      <c r="E13" s="24" t="s">
        <v>26</v>
      </c>
      <c r="F13" s="57" t="s">
        <v>121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4:16" ht="19.5" thickBot="1" x14ac:dyDescent="0.35">
      <c r="D14" s="25" t="s">
        <v>25</v>
      </c>
      <c r="E14" s="33" t="s">
        <v>26</v>
      </c>
      <c r="F14" s="24" t="s">
        <v>118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4:16" ht="19.5" thickBot="1" x14ac:dyDescent="0.35">
      <c r="D15" s="25" t="s">
        <v>20</v>
      </c>
      <c r="E15" s="33" t="s">
        <v>18</v>
      </c>
      <c r="F15" s="26" t="s">
        <v>118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4:16" ht="19.5" thickBot="1" x14ac:dyDescent="0.35">
      <c r="D16" s="25" t="s">
        <v>15</v>
      </c>
      <c r="E16" s="33" t="s">
        <v>16</v>
      </c>
      <c r="F16" s="26" t="s">
        <v>118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4:16" ht="19.5" thickBot="1" x14ac:dyDescent="0.35">
      <c r="D17" s="25" t="s">
        <v>14</v>
      </c>
      <c r="E17" s="40" t="s">
        <v>11</v>
      </c>
      <c r="F17" s="24" t="s">
        <v>118</v>
      </c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4:16" ht="19.5" thickBot="1" x14ac:dyDescent="0.35">
      <c r="D18" s="19" t="s">
        <v>8</v>
      </c>
      <c r="E18" s="19" t="s">
        <v>7</v>
      </c>
      <c r="F18" s="26" t="s">
        <v>118</v>
      </c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4:16" ht="19.5" thickBot="1" x14ac:dyDescent="0.35">
      <c r="D19" s="103" t="s">
        <v>457</v>
      </c>
      <c r="E19" s="103" t="s">
        <v>7</v>
      </c>
      <c r="F19" s="65" t="s">
        <v>118</v>
      </c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4:16" ht="19.5" thickBot="1" x14ac:dyDescent="0.35">
      <c r="D20" s="19" t="s">
        <v>6</v>
      </c>
      <c r="E20" s="19" t="s">
        <v>5</v>
      </c>
      <c r="F20" s="31" t="s">
        <v>118</v>
      </c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4:16" ht="19.5" thickBot="1" x14ac:dyDescent="0.35">
      <c r="D21" s="25" t="s">
        <v>1458</v>
      </c>
      <c r="E21" s="25" t="s">
        <v>16</v>
      </c>
      <c r="F21" s="26" t="s">
        <v>119</v>
      </c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4:16" ht="19.5" thickBot="1" x14ac:dyDescent="0.35">
      <c r="D22" s="40" t="s">
        <v>345</v>
      </c>
      <c r="E22" s="40" t="s">
        <v>335</v>
      </c>
      <c r="F22" s="38" t="s">
        <v>119</v>
      </c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4:16" ht="19.5" thickBot="1" x14ac:dyDescent="0.35">
      <c r="D23" s="25" t="s">
        <v>329</v>
      </c>
      <c r="E23" s="25" t="s">
        <v>320</v>
      </c>
      <c r="F23" s="24" t="s">
        <v>119</v>
      </c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4:16" ht="19.5" thickBot="1" x14ac:dyDescent="0.35">
      <c r="D24" s="25" t="s">
        <v>190</v>
      </c>
      <c r="E24" s="25" t="s">
        <v>117</v>
      </c>
      <c r="F24" s="26" t="s">
        <v>119</v>
      </c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4:16" ht="19.5" thickBot="1" x14ac:dyDescent="0.35">
      <c r="D25" s="25" t="s">
        <v>104</v>
      </c>
      <c r="E25" s="25" t="s">
        <v>58</v>
      </c>
      <c r="F25" s="24" t="s">
        <v>119</v>
      </c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4:16" ht="19.5" thickBot="1" x14ac:dyDescent="0.35">
      <c r="D26" s="25" t="s">
        <v>45</v>
      </c>
      <c r="E26" s="25" t="s">
        <v>31</v>
      </c>
      <c r="F26" s="24" t="s">
        <v>119</v>
      </c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4:16" ht="19.5" thickBot="1" x14ac:dyDescent="0.35">
      <c r="D27" s="25" t="s">
        <v>27</v>
      </c>
      <c r="E27" s="25" t="s">
        <v>26</v>
      </c>
      <c r="F27" s="24" t="s">
        <v>119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4:16" ht="19.5" thickBot="1" x14ac:dyDescent="0.35">
      <c r="D28" s="25" t="s">
        <v>22</v>
      </c>
      <c r="E28" s="25" t="s">
        <v>18</v>
      </c>
      <c r="F28" s="26" t="s">
        <v>119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4:16" ht="19.5" thickBot="1" x14ac:dyDescent="0.35">
      <c r="D29" s="25" t="s">
        <v>12</v>
      </c>
      <c r="E29" s="40" t="s">
        <v>11</v>
      </c>
      <c r="F29" s="24" t="s">
        <v>119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4:16" ht="19.5" thickBot="1" x14ac:dyDescent="0.35">
      <c r="D30" s="103" t="s">
        <v>459</v>
      </c>
      <c r="E30" s="103"/>
      <c r="F30" s="65" t="s">
        <v>119</v>
      </c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4:16" ht="19.5" thickBot="1" x14ac:dyDescent="0.35">
      <c r="D31" s="40" t="s">
        <v>342</v>
      </c>
      <c r="E31" s="40" t="s">
        <v>335</v>
      </c>
      <c r="F31" s="38" t="s">
        <v>120</v>
      </c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4:16" ht="19.5" thickBot="1" x14ac:dyDescent="0.35">
      <c r="D32" s="25" t="s">
        <v>321</v>
      </c>
      <c r="E32" s="25" t="s">
        <v>320</v>
      </c>
      <c r="F32" s="24" t="s">
        <v>120</v>
      </c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4:16" ht="19.5" thickBot="1" x14ac:dyDescent="0.35">
      <c r="D33" s="25" t="s">
        <v>258</v>
      </c>
      <c r="E33" s="25" t="s">
        <v>117</v>
      </c>
      <c r="F33" s="26" t="s">
        <v>120</v>
      </c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4:16" ht="19.5" thickBot="1" x14ac:dyDescent="0.35">
      <c r="D34" s="25" t="s">
        <v>71</v>
      </c>
      <c r="E34" s="25" t="s">
        <v>58</v>
      </c>
      <c r="F34" s="24" t="s">
        <v>120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4:16" ht="19.5" thickBot="1" x14ac:dyDescent="0.35">
      <c r="D35" s="25" t="s">
        <v>34</v>
      </c>
      <c r="E35" s="25" t="s">
        <v>31</v>
      </c>
      <c r="F35" s="24" t="s">
        <v>120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4:16" ht="19.5" thickBot="1" x14ac:dyDescent="0.35">
      <c r="D36" s="25" t="s">
        <v>29</v>
      </c>
      <c r="E36" s="25" t="s">
        <v>26</v>
      </c>
      <c r="F36" s="24" t="s">
        <v>120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4:16" ht="19.5" thickBot="1" x14ac:dyDescent="0.35">
      <c r="D37" s="25" t="s">
        <v>17</v>
      </c>
      <c r="E37" s="25" t="s">
        <v>18</v>
      </c>
      <c r="F37" s="26" t="s">
        <v>120</v>
      </c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4:16" ht="19.5" thickBot="1" x14ac:dyDescent="0.35">
      <c r="D38" s="25" t="s">
        <v>13</v>
      </c>
      <c r="E38" s="40" t="s">
        <v>11</v>
      </c>
      <c r="F38" s="24" t="s">
        <v>120</v>
      </c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4:16" ht="19.5" thickBot="1" x14ac:dyDescent="0.35">
      <c r="D39" s="19" t="s">
        <v>458</v>
      </c>
      <c r="E39" s="19" t="s">
        <v>31</v>
      </c>
      <c r="F39" s="65" t="s">
        <v>120</v>
      </c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4:16" ht="19.5" thickBot="1" x14ac:dyDescent="0.35">
      <c r="D40" s="40" t="s">
        <v>337</v>
      </c>
      <c r="E40" s="40" t="s">
        <v>335</v>
      </c>
      <c r="F40" s="38" t="s">
        <v>121</v>
      </c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4:16" ht="19.5" thickBot="1" x14ac:dyDescent="0.35">
      <c r="D41" s="25" t="s">
        <v>330</v>
      </c>
      <c r="E41" s="25" t="s">
        <v>320</v>
      </c>
      <c r="F41" s="24" t="s">
        <v>121</v>
      </c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4:16" ht="19.5" thickBot="1" x14ac:dyDescent="0.35">
      <c r="D42" s="25" t="s">
        <v>201</v>
      </c>
      <c r="E42" s="25" t="s">
        <v>117</v>
      </c>
      <c r="F42" s="26" t="s">
        <v>121</v>
      </c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4:16" ht="19.5" thickBot="1" x14ac:dyDescent="0.35">
      <c r="D43" s="25" t="s">
        <v>70</v>
      </c>
      <c r="E43" s="25" t="s">
        <v>58</v>
      </c>
      <c r="F43" s="24" t="s">
        <v>121</v>
      </c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4:16" ht="19.5" thickBot="1" x14ac:dyDescent="0.35">
      <c r="D44" s="25" t="s">
        <v>51</v>
      </c>
      <c r="E44" s="25" t="s">
        <v>31</v>
      </c>
      <c r="F44" s="24" t="s">
        <v>121</v>
      </c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4:16" ht="19.5" thickBot="1" x14ac:dyDescent="0.35">
      <c r="D45" s="25" t="s">
        <v>28</v>
      </c>
      <c r="E45" s="25" t="s">
        <v>26</v>
      </c>
      <c r="F45" s="24" t="s">
        <v>121</v>
      </c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4:16" ht="19.5" thickBot="1" x14ac:dyDescent="0.35">
      <c r="D46" s="25" t="s">
        <v>19</v>
      </c>
      <c r="E46" s="25" t="s">
        <v>18</v>
      </c>
      <c r="F46" s="26" t="s">
        <v>121</v>
      </c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4:16" ht="19.5" thickBot="1" x14ac:dyDescent="0.35">
      <c r="D47" s="25" t="s">
        <v>10</v>
      </c>
      <c r="E47" s="40" t="s">
        <v>11</v>
      </c>
      <c r="F47" s="24" t="s">
        <v>121</v>
      </c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4:16" ht="19.5" thickBot="1" x14ac:dyDescent="0.35">
      <c r="D48" s="103" t="s">
        <v>460</v>
      </c>
      <c r="E48" s="103" t="s">
        <v>7</v>
      </c>
      <c r="F48" s="65" t="s">
        <v>121</v>
      </c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4:16" ht="19.5" thickBot="1" x14ac:dyDescent="0.35">
      <c r="D49" s="40" t="s">
        <v>336</v>
      </c>
      <c r="E49" s="40" t="s">
        <v>335</v>
      </c>
      <c r="F49" s="38" t="s">
        <v>122</v>
      </c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4:16" ht="19.5" thickBot="1" x14ac:dyDescent="0.35">
      <c r="D50" s="25" t="s">
        <v>325</v>
      </c>
      <c r="E50" s="25" t="s">
        <v>320</v>
      </c>
      <c r="F50" s="24" t="s">
        <v>122</v>
      </c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4:16" ht="19.5" thickBot="1" x14ac:dyDescent="0.35">
      <c r="D51" s="25" t="s">
        <v>203</v>
      </c>
      <c r="E51" s="25" t="s">
        <v>117</v>
      </c>
      <c r="F51" s="26" t="s">
        <v>122</v>
      </c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4:16" ht="19.5" thickBot="1" x14ac:dyDescent="0.35">
      <c r="D52" s="25" t="s">
        <v>62</v>
      </c>
      <c r="E52" s="25" t="s">
        <v>58</v>
      </c>
      <c r="F52" s="24" t="s">
        <v>122</v>
      </c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4:16" ht="19.5" thickBot="1" x14ac:dyDescent="0.35">
      <c r="D53" s="25" t="s">
        <v>39</v>
      </c>
      <c r="E53" s="25" t="s">
        <v>31</v>
      </c>
      <c r="F53" s="24" t="s">
        <v>122</v>
      </c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4:16" ht="19.5" thickBot="1" x14ac:dyDescent="0.35">
      <c r="D54" s="25" t="s">
        <v>24</v>
      </c>
      <c r="E54" s="25" t="s">
        <v>18</v>
      </c>
      <c r="F54" s="26" t="s">
        <v>122</v>
      </c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4:16" ht="19.5" thickBot="1" x14ac:dyDescent="0.35">
      <c r="D55" s="103" t="s">
        <v>547</v>
      </c>
      <c r="E55" s="103" t="s">
        <v>548</v>
      </c>
      <c r="F55" s="65" t="s">
        <v>122</v>
      </c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4:16" ht="19.5" thickBot="1" x14ac:dyDescent="0.35">
      <c r="D56" s="40" t="s">
        <v>346</v>
      </c>
      <c r="E56" s="40" t="s">
        <v>335</v>
      </c>
      <c r="F56" s="38" t="s">
        <v>123</v>
      </c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4:16" ht="19.5" thickBot="1" x14ac:dyDescent="0.35">
      <c r="D57" s="25" t="s">
        <v>328</v>
      </c>
      <c r="E57" s="25" t="s">
        <v>320</v>
      </c>
      <c r="F57" s="24" t="s">
        <v>123</v>
      </c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4:16" ht="19.5" thickBot="1" x14ac:dyDescent="0.35">
      <c r="D58" s="25" t="s">
        <v>189</v>
      </c>
      <c r="E58" s="25" t="s">
        <v>117</v>
      </c>
      <c r="F58" s="26" t="s">
        <v>123</v>
      </c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4:16" ht="19.5" thickBot="1" x14ac:dyDescent="0.35">
      <c r="D59" s="25" t="s">
        <v>102</v>
      </c>
      <c r="E59" s="25" t="s">
        <v>58</v>
      </c>
      <c r="F59" s="24" t="s">
        <v>123</v>
      </c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4:16" ht="19.5" thickBot="1" x14ac:dyDescent="0.35">
      <c r="D60" s="25" t="s">
        <v>56</v>
      </c>
      <c r="E60" s="25" t="s">
        <v>31</v>
      </c>
      <c r="F60" s="24" t="s">
        <v>123</v>
      </c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4:16" ht="19.5" thickBot="1" x14ac:dyDescent="0.35">
      <c r="D61" s="25" t="s">
        <v>23</v>
      </c>
      <c r="E61" s="25" t="s">
        <v>18</v>
      </c>
      <c r="F61" s="26" t="s">
        <v>123</v>
      </c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4:16" ht="19.5" thickBot="1" x14ac:dyDescent="0.35">
      <c r="D62" s="105" t="s">
        <v>461</v>
      </c>
      <c r="E62" s="105" t="s">
        <v>455</v>
      </c>
      <c r="F62" s="65" t="s">
        <v>123</v>
      </c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4:16" ht="19.5" thickBot="1" x14ac:dyDescent="0.35">
      <c r="D63" s="40" t="s">
        <v>348</v>
      </c>
      <c r="E63" s="40" t="s">
        <v>335</v>
      </c>
      <c r="F63" s="38" t="s">
        <v>124</v>
      </c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4:16" ht="19.5" thickBot="1" x14ac:dyDescent="0.35">
      <c r="D64" s="25" t="s">
        <v>326</v>
      </c>
      <c r="E64" s="25" t="s">
        <v>320</v>
      </c>
      <c r="F64" s="24" t="s">
        <v>124</v>
      </c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4:16" ht="19.5" thickBot="1" x14ac:dyDescent="0.35">
      <c r="D65" s="25" t="s">
        <v>275</v>
      </c>
      <c r="E65" s="25" t="s">
        <v>117</v>
      </c>
      <c r="F65" s="26" t="s">
        <v>124</v>
      </c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4:16" ht="19.5" thickBot="1" x14ac:dyDescent="0.35">
      <c r="D66" s="25" t="s">
        <v>67</v>
      </c>
      <c r="E66" s="25" t="s">
        <v>58</v>
      </c>
      <c r="F66" s="24" t="s">
        <v>124</v>
      </c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4:16" ht="19.5" thickBot="1" x14ac:dyDescent="0.35">
      <c r="D67" s="25" t="s">
        <v>30</v>
      </c>
      <c r="E67" s="25" t="s">
        <v>31</v>
      </c>
      <c r="F67" s="24" t="s">
        <v>124</v>
      </c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4:16" ht="19.5" thickBot="1" x14ac:dyDescent="0.35">
      <c r="D68" s="25" t="s">
        <v>21</v>
      </c>
      <c r="E68" s="25" t="s">
        <v>18</v>
      </c>
      <c r="F68" s="26" t="s">
        <v>124</v>
      </c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4:16" ht="19.5" thickBot="1" x14ac:dyDescent="0.35">
      <c r="D69" s="103" t="s">
        <v>462</v>
      </c>
      <c r="E69" s="103" t="s">
        <v>463</v>
      </c>
      <c r="F69" s="65" t="s">
        <v>124</v>
      </c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4:16" ht="19.5" thickBot="1" x14ac:dyDescent="0.35">
      <c r="D70" s="40" t="s">
        <v>351</v>
      </c>
      <c r="E70" s="40" t="s">
        <v>335</v>
      </c>
      <c r="F70" s="38" t="s">
        <v>125</v>
      </c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4:16" ht="19.5" thickBot="1" x14ac:dyDescent="0.35">
      <c r="D71" s="25" t="s">
        <v>327</v>
      </c>
      <c r="E71" s="25" t="s">
        <v>320</v>
      </c>
      <c r="F71" s="24" t="s">
        <v>125</v>
      </c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4:16" ht="19.5" thickBot="1" x14ac:dyDescent="0.35">
      <c r="D72" s="25" t="s">
        <v>210</v>
      </c>
      <c r="E72" s="25" t="s">
        <v>117</v>
      </c>
      <c r="F72" s="26" t="s">
        <v>125</v>
      </c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4:16" ht="19.5" thickBot="1" x14ac:dyDescent="0.35">
      <c r="D73" s="25" t="s">
        <v>61</v>
      </c>
      <c r="E73" s="25" t="s">
        <v>58</v>
      </c>
      <c r="F73" s="24" t="s">
        <v>125</v>
      </c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4:16" ht="19.5" thickBot="1" x14ac:dyDescent="0.35">
      <c r="D74" s="25" t="s">
        <v>36</v>
      </c>
      <c r="E74" s="25" t="s">
        <v>31</v>
      </c>
      <c r="F74" s="24" t="s">
        <v>125</v>
      </c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4:16" ht="19.5" thickBot="1" x14ac:dyDescent="0.35">
      <c r="D75" s="40" t="s">
        <v>338</v>
      </c>
      <c r="E75" s="40" t="s">
        <v>335</v>
      </c>
      <c r="F75" s="38" t="s">
        <v>126</v>
      </c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4:16" ht="19.5" thickBot="1" x14ac:dyDescent="0.35">
      <c r="D76" s="25" t="s">
        <v>334</v>
      </c>
      <c r="E76" s="25" t="s">
        <v>320</v>
      </c>
      <c r="F76" s="24" t="s">
        <v>126</v>
      </c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4:16" ht="19.5" thickBot="1" x14ac:dyDescent="0.35">
      <c r="D77" s="25" t="s">
        <v>246</v>
      </c>
      <c r="E77" s="25" t="s">
        <v>117</v>
      </c>
      <c r="F77" s="26" t="s">
        <v>126</v>
      </c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4:16" ht="19.5" thickBot="1" x14ac:dyDescent="0.35">
      <c r="D78" s="25" t="s">
        <v>57</v>
      </c>
      <c r="E78" s="25" t="s">
        <v>58</v>
      </c>
      <c r="F78" s="24" t="s">
        <v>126</v>
      </c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4:16" ht="19.5" thickBot="1" x14ac:dyDescent="0.35">
      <c r="D79" s="25" t="s">
        <v>48</v>
      </c>
      <c r="E79" s="25" t="s">
        <v>31</v>
      </c>
      <c r="F79" s="24" t="s">
        <v>126</v>
      </c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4:16" ht="19.5" thickBot="1" x14ac:dyDescent="0.35">
      <c r="D80" s="40" t="s">
        <v>344</v>
      </c>
      <c r="E80" s="40" t="s">
        <v>335</v>
      </c>
      <c r="F80" s="38" t="s">
        <v>127</v>
      </c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4:16" ht="19.5" thickBot="1" x14ac:dyDescent="0.35">
      <c r="D81" s="25" t="s">
        <v>322</v>
      </c>
      <c r="E81" s="25" t="s">
        <v>320</v>
      </c>
      <c r="F81" s="24" t="s">
        <v>127</v>
      </c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4:16" ht="19.5" thickBot="1" x14ac:dyDescent="0.35">
      <c r="D82" s="25" t="s">
        <v>253</v>
      </c>
      <c r="E82" s="25" t="s">
        <v>117</v>
      </c>
      <c r="F82" s="26" t="s">
        <v>127</v>
      </c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4:16" ht="19.5" thickBot="1" x14ac:dyDescent="0.35">
      <c r="D83" s="25" t="s">
        <v>76</v>
      </c>
      <c r="E83" s="25" t="s">
        <v>58</v>
      </c>
      <c r="F83" s="24" t="s">
        <v>127</v>
      </c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4:16" ht="19.5" thickBot="1" x14ac:dyDescent="0.35">
      <c r="D84" s="25" t="s">
        <v>55</v>
      </c>
      <c r="E84" s="25" t="s">
        <v>31</v>
      </c>
      <c r="F84" s="24" t="s">
        <v>127</v>
      </c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4:16" ht="19.5" thickBot="1" x14ac:dyDescent="0.35">
      <c r="D85" s="19" t="s">
        <v>464</v>
      </c>
      <c r="E85" s="19" t="s">
        <v>26</v>
      </c>
      <c r="F85" s="65" t="s">
        <v>127</v>
      </c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4:16" ht="19.5" thickBot="1" x14ac:dyDescent="0.35">
      <c r="D86" s="40" t="s">
        <v>352</v>
      </c>
      <c r="E86" s="40" t="s">
        <v>335</v>
      </c>
      <c r="F86" s="38" t="s">
        <v>128</v>
      </c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4:16" ht="19.5" thickBot="1" x14ac:dyDescent="0.35">
      <c r="D87" s="25" t="s">
        <v>323</v>
      </c>
      <c r="E87" s="25" t="s">
        <v>320</v>
      </c>
      <c r="F87" s="24" t="s">
        <v>128</v>
      </c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4:16" ht="19.5" thickBot="1" x14ac:dyDescent="0.35">
      <c r="D88" s="25" t="s">
        <v>195</v>
      </c>
      <c r="E88" s="25" t="s">
        <v>117</v>
      </c>
      <c r="F88" s="26" t="s">
        <v>128</v>
      </c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4:16" ht="19.5" thickBot="1" x14ac:dyDescent="0.35">
      <c r="D89" s="25" t="s">
        <v>60</v>
      </c>
      <c r="E89" s="25" t="s">
        <v>58</v>
      </c>
      <c r="F89" s="24" t="s">
        <v>128</v>
      </c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4:16" ht="19.5" thickBot="1" x14ac:dyDescent="0.35">
      <c r="D90" s="25" t="s">
        <v>33</v>
      </c>
      <c r="E90" s="25" t="s">
        <v>31</v>
      </c>
      <c r="F90" s="24" t="s">
        <v>128</v>
      </c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4:16" ht="19.5" thickBot="1" x14ac:dyDescent="0.35">
      <c r="D91" s="103" t="s">
        <v>465</v>
      </c>
      <c r="E91" s="103" t="s">
        <v>5</v>
      </c>
      <c r="F91" s="65" t="s">
        <v>128</v>
      </c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4:16" ht="19.5" thickBot="1" x14ac:dyDescent="0.35">
      <c r="D92" s="40" t="s">
        <v>347</v>
      </c>
      <c r="E92" s="40" t="s">
        <v>335</v>
      </c>
      <c r="F92" s="38" t="s">
        <v>129</v>
      </c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4:16" ht="19.5" thickBot="1" x14ac:dyDescent="0.35">
      <c r="D93" s="25" t="s">
        <v>333</v>
      </c>
      <c r="E93" s="25" t="s">
        <v>320</v>
      </c>
      <c r="F93" s="24" t="s">
        <v>129</v>
      </c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4:16" ht="19.5" thickBot="1" x14ac:dyDescent="0.35">
      <c r="D94" s="25" t="s">
        <v>226</v>
      </c>
      <c r="E94" s="25" t="s">
        <v>117</v>
      </c>
      <c r="F94" s="26" t="s">
        <v>129</v>
      </c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4:16" ht="19.5" thickBot="1" x14ac:dyDescent="0.35">
      <c r="D95" s="25" t="s">
        <v>112</v>
      </c>
      <c r="E95" s="25" t="s">
        <v>58</v>
      </c>
      <c r="F95" s="24" t="s">
        <v>129</v>
      </c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4:16" ht="19.5" thickBot="1" x14ac:dyDescent="0.35">
      <c r="D96" s="25" t="s">
        <v>46</v>
      </c>
      <c r="E96" s="25" t="s">
        <v>31</v>
      </c>
      <c r="F96" s="24" t="s">
        <v>129</v>
      </c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4:16" ht="19.5" thickBot="1" x14ac:dyDescent="0.35">
      <c r="D97" s="105" t="s">
        <v>466</v>
      </c>
      <c r="E97" s="105" t="s">
        <v>467</v>
      </c>
      <c r="F97" s="65" t="s">
        <v>129</v>
      </c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4:16" ht="19.5" thickBot="1" x14ac:dyDescent="0.35">
      <c r="D98" s="40" t="s">
        <v>349</v>
      </c>
      <c r="E98" s="40" t="s">
        <v>335</v>
      </c>
      <c r="F98" s="38" t="s">
        <v>130</v>
      </c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4:16" ht="19.5" thickBot="1" x14ac:dyDescent="0.35">
      <c r="D99" s="25" t="s">
        <v>324</v>
      </c>
      <c r="E99" s="25" t="s">
        <v>320</v>
      </c>
      <c r="F99" s="24" t="s">
        <v>130</v>
      </c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4:16" ht="19.5" thickBot="1" x14ac:dyDescent="0.35">
      <c r="D100" s="25" t="s">
        <v>211</v>
      </c>
      <c r="E100" s="25" t="s">
        <v>117</v>
      </c>
      <c r="F100" s="26" t="s">
        <v>130</v>
      </c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4:16" ht="19.5" thickBot="1" x14ac:dyDescent="0.35">
      <c r="D101" s="25" t="s">
        <v>81</v>
      </c>
      <c r="E101" s="25" t="s">
        <v>58</v>
      </c>
      <c r="F101" s="24" t="s">
        <v>130</v>
      </c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4:16" ht="19.5" thickBot="1" x14ac:dyDescent="0.35">
      <c r="D102" s="25" t="s">
        <v>32</v>
      </c>
      <c r="E102" s="25" t="s">
        <v>31</v>
      </c>
      <c r="F102" s="24" t="s">
        <v>130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4:16" ht="19.5" thickBot="1" x14ac:dyDescent="0.35">
      <c r="D103" s="105" t="s">
        <v>468</v>
      </c>
      <c r="E103" s="105" t="s">
        <v>5</v>
      </c>
      <c r="F103" s="65" t="s">
        <v>130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4:16" ht="19.5" thickBot="1" x14ac:dyDescent="0.35">
      <c r="D104" s="40" t="s">
        <v>343</v>
      </c>
      <c r="E104" s="40" t="s">
        <v>335</v>
      </c>
      <c r="F104" s="38" t="s">
        <v>131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4:16" ht="19.5" thickBot="1" x14ac:dyDescent="0.35">
      <c r="D105" s="25" t="s">
        <v>331</v>
      </c>
      <c r="E105" s="25" t="s">
        <v>320</v>
      </c>
      <c r="F105" s="24" t="s">
        <v>131</v>
      </c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4:16" ht="19.5" thickBot="1" x14ac:dyDescent="0.35">
      <c r="D106" s="25" t="s">
        <v>250</v>
      </c>
      <c r="E106" s="25" t="s">
        <v>117</v>
      </c>
      <c r="F106" s="26" t="s">
        <v>131</v>
      </c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4:16" ht="19.5" thickBot="1" x14ac:dyDescent="0.35">
      <c r="D107" s="25" t="s">
        <v>111</v>
      </c>
      <c r="E107" s="25" t="s">
        <v>58</v>
      </c>
      <c r="F107" s="24" t="s">
        <v>131</v>
      </c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4:16" ht="19.5" thickBot="1" x14ac:dyDescent="0.35">
      <c r="D108" s="25" t="s">
        <v>44</v>
      </c>
      <c r="E108" s="25" t="s">
        <v>31</v>
      </c>
      <c r="F108" s="24" t="s">
        <v>131</v>
      </c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4:16" ht="19.5" thickBot="1" x14ac:dyDescent="0.35">
      <c r="D109" s="19" t="s">
        <v>469</v>
      </c>
      <c r="E109" s="19" t="s">
        <v>16</v>
      </c>
      <c r="F109" s="65" t="s">
        <v>131</v>
      </c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4:16" ht="19.5" thickBot="1" x14ac:dyDescent="0.35">
      <c r="D110" s="40" t="s">
        <v>340</v>
      </c>
      <c r="E110" s="40" t="s">
        <v>335</v>
      </c>
      <c r="F110" s="38" t="s">
        <v>132</v>
      </c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4:16" ht="19.5" thickBot="1" x14ac:dyDescent="0.35">
      <c r="D111" s="25" t="s">
        <v>213</v>
      </c>
      <c r="E111" s="25" t="s">
        <v>117</v>
      </c>
      <c r="F111" s="26" t="s">
        <v>132</v>
      </c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4:16" ht="19.5" thickBot="1" x14ac:dyDescent="0.35">
      <c r="D112" s="25" t="s">
        <v>69</v>
      </c>
      <c r="E112" s="25" t="s">
        <v>58</v>
      </c>
      <c r="F112" s="24" t="s">
        <v>132</v>
      </c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4:16" ht="19.5" thickBot="1" x14ac:dyDescent="0.35">
      <c r="D113" s="25" t="s">
        <v>42</v>
      </c>
      <c r="E113" s="25" t="s">
        <v>31</v>
      </c>
      <c r="F113" s="24" t="s">
        <v>132</v>
      </c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4:16" ht="19.5" thickBot="1" x14ac:dyDescent="0.35">
      <c r="D114" s="103" t="s">
        <v>470</v>
      </c>
      <c r="E114" s="103" t="s">
        <v>11</v>
      </c>
      <c r="F114" s="65" t="s">
        <v>132</v>
      </c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4:16" ht="19.5" thickBot="1" x14ac:dyDescent="0.35">
      <c r="D115" s="40" t="s">
        <v>339</v>
      </c>
      <c r="E115" s="40" t="s">
        <v>335</v>
      </c>
      <c r="F115" s="38" t="s">
        <v>133</v>
      </c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4:16" ht="19.5" thickBot="1" x14ac:dyDescent="0.35">
      <c r="D116" s="25" t="s">
        <v>245</v>
      </c>
      <c r="E116" s="25" t="s">
        <v>117</v>
      </c>
      <c r="F116" s="26" t="s">
        <v>133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4:16" ht="19.5" thickBot="1" x14ac:dyDescent="0.35">
      <c r="D117" s="25" t="s">
        <v>94</v>
      </c>
      <c r="E117" s="25" t="s">
        <v>58</v>
      </c>
      <c r="F117" s="24" t="s">
        <v>133</v>
      </c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4:16" ht="19.5" thickBot="1" x14ac:dyDescent="0.35">
      <c r="D118" s="25" t="s">
        <v>40</v>
      </c>
      <c r="E118" s="25" t="s">
        <v>31</v>
      </c>
      <c r="F118" s="24" t="s">
        <v>133</v>
      </c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4:16" ht="19.5" thickBot="1" x14ac:dyDescent="0.35">
      <c r="D119" s="103" t="s">
        <v>471</v>
      </c>
      <c r="E119" s="103" t="s">
        <v>31</v>
      </c>
      <c r="F119" s="65" t="s">
        <v>133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4:16" ht="19.5" thickBot="1" x14ac:dyDescent="0.35">
      <c r="D120" s="40" t="s">
        <v>350</v>
      </c>
      <c r="E120" s="40" t="s">
        <v>335</v>
      </c>
      <c r="F120" s="38" t="s">
        <v>134</v>
      </c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4:16" ht="19.5" thickBot="1" x14ac:dyDescent="0.35">
      <c r="D121" s="25" t="s">
        <v>212</v>
      </c>
      <c r="E121" s="25" t="s">
        <v>117</v>
      </c>
      <c r="F121" s="26" t="s">
        <v>134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4:16" ht="19.5" thickBot="1" x14ac:dyDescent="0.35">
      <c r="D122" s="25" t="s">
        <v>75</v>
      </c>
      <c r="E122" s="25" t="s">
        <v>58</v>
      </c>
      <c r="F122" s="24" t="s">
        <v>134</v>
      </c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4:16" ht="19.5" thickBot="1" x14ac:dyDescent="0.35">
      <c r="D123" s="25" t="s">
        <v>41</v>
      </c>
      <c r="E123" s="25" t="s">
        <v>31</v>
      </c>
      <c r="F123" s="24" t="s">
        <v>134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4:16" ht="19.5" thickBot="1" x14ac:dyDescent="0.35">
      <c r="D124" s="103" t="s">
        <v>472</v>
      </c>
      <c r="E124" s="103" t="s">
        <v>16</v>
      </c>
      <c r="F124" s="65" t="s">
        <v>134</v>
      </c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4:16" ht="19.5" thickBot="1" x14ac:dyDescent="0.35">
      <c r="D125" s="40" t="s">
        <v>353</v>
      </c>
      <c r="E125" s="40" t="s">
        <v>335</v>
      </c>
      <c r="F125" s="38" t="s">
        <v>135</v>
      </c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4:16" ht="19.5" thickBot="1" x14ac:dyDescent="0.35">
      <c r="D126" s="25" t="s">
        <v>200</v>
      </c>
      <c r="E126" s="25" t="s">
        <v>117</v>
      </c>
      <c r="F126" s="26" t="s">
        <v>135</v>
      </c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4:16" ht="19.5" thickBot="1" x14ac:dyDescent="0.35">
      <c r="D127" s="25" t="s">
        <v>91</v>
      </c>
      <c r="E127" s="25" t="s">
        <v>58</v>
      </c>
      <c r="F127" s="24" t="s">
        <v>135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4:16" ht="19.5" thickBot="1" x14ac:dyDescent="0.35">
      <c r="D128" s="25" t="s">
        <v>50</v>
      </c>
      <c r="E128" s="25" t="s">
        <v>31</v>
      </c>
      <c r="F128" s="24" t="s">
        <v>135</v>
      </c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4:16" ht="19.5" thickBot="1" x14ac:dyDescent="0.35">
      <c r="D129" s="103" t="s">
        <v>473</v>
      </c>
      <c r="E129" s="103" t="s">
        <v>7</v>
      </c>
      <c r="F129" s="65" t="s">
        <v>135</v>
      </c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4:16" ht="19.5" thickBot="1" x14ac:dyDescent="0.35">
      <c r="D130" s="25" t="s">
        <v>359</v>
      </c>
      <c r="E130" s="25" t="s">
        <v>335</v>
      </c>
      <c r="F130" s="38" t="s">
        <v>136</v>
      </c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4:16" ht="19.5" thickBot="1" x14ac:dyDescent="0.35">
      <c r="D131" s="25" t="s">
        <v>188</v>
      </c>
      <c r="E131" s="25" t="s">
        <v>117</v>
      </c>
      <c r="F131" s="26" t="s">
        <v>136</v>
      </c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4:16" ht="19.5" thickBot="1" x14ac:dyDescent="0.35">
      <c r="D132" s="25" t="s">
        <v>66</v>
      </c>
      <c r="E132" s="33" t="s">
        <v>58</v>
      </c>
      <c r="F132" s="24" t="s">
        <v>136</v>
      </c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4:16" ht="19.5" thickBot="1" x14ac:dyDescent="0.35">
      <c r="D133" s="25" t="s">
        <v>54</v>
      </c>
      <c r="E133" s="33" t="s">
        <v>31</v>
      </c>
      <c r="F133" s="24" t="s">
        <v>136</v>
      </c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4:16" ht="19.5" thickBot="1" x14ac:dyDescent="0.35">
      <c r="D134" s="19" t="s">
        <v>474</v>
      </c>
      <c r="E134" s="20" t="s">
        <v>5</v>
      </c>
      <c r="F134" s="65" t="s">
        <v>136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4:16" ht="19.5" thickBot="1" x14ac:dyDescent="0.35">
      <c r="D135" s="25" t="s">
        <v>360</v>
      </c>
      <c r="E135" s="33" t="s">
        <v>335</v>
      </c>
      <c r="F135" s="38" t="s">
        <v>137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4:16" ht="19.5" thickBot="1" x14ac:dyDescent="0.35">
      <c r="D136" s="25" t="s">
        <v>265</v>
      </c>
      <c r="E136" s="33" t="s">
        <v>117</v>
      </c>
      <c r="F136" s="26" t="s">
        <v>137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4:16" ht="19.5" thickBot="1" x14ac:dyDescent="0.35">
      <c r="D137" s="25" t="s">
        <v>101</v>
      </c>
      <c r="E137" s="33" t="s">
        <v>58</v>
      </c>
      <c r="F137" s="24" t="s">
        <v>137</v>
      </c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4:16" ht="19.5" thickBot="1" x14ac:dyDescent="0.35">
      <c r="D138" s="25" t="s">
        <v>38</v>
      </c>
      <c r="E138" s="33" t="s">
        <v>31</v>
      </c>
      <c r="F138" s="24" t="s">
        <v>137</v>
      </c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4:16" ht="19.5" thickBot="1" x14ac:dyDescent="0.35">
      <c r="D139" s="19" t="s">
        <v>475</v>
      </c>
      <c r="E139" s="20" t="s">
        <v>26</v>
      </c>
      <c r="F139" s="65" t="s">
        <v>137</v>
      </c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4:16" ht="19.5" thickBot="1" x14ac:dyDescent="0.35">
      <c r="D140" s="25" t="s">
        <v>361</v>
      </c>
      <c r="E140" s="33" t="s">
        <v>335</v>
      </c>
      <c r="F140" s="38" t="s">
        <v>138</v>
      </c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4:16" ht="19.5" thickBot="1" x14ac:dyDescent="0.35">
      <c r="D141" s="25" t="s">
        <v>227</v>
      </c>
      <c r="E141" s="33" t="s">
        <v>117</v>
      </c>
      <c r="F141" s="26" t="s">
        <v>138</v>
      </c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4:16" ht="19.5" thickBot="1" x14ac:dyDescent="0.35">
      <c r="D142" s="25" t="s">
        <v>100</v>
      </c>
      <c r="E142" s="33" t="s">
        <v>58</v>
      </c>
      <c r="F142" s="24" t="s">
        <v>138</v>
      </c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4:16" ht="19.5" thickBot="1" x14ac:dyDescent="0.35">
      <c r="D143" s="25" t="s">
        <v>52</v>
      </c>
      <c r="E143" s="33" t="s">
        <v>31</v>
      </c>
      <c r="F143" s="24" t="s">
        <v>138</v>
      </c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4:16" ht="19.5" thickBot="1" x14ac:dyDescent="0.35">
      <c r="D144" s="103" t="s">
        <v>476</v>
      </c>
      <c r="E144" s="64" t="s">
        <v>477</v>
      </c>
      <c r="F144" s="65" t="s">
        <v>138</v>
      </c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4:16" ht="19.5" thickBot="1" x14ac:dyDescent="0.35">
      <c r="D145" s="25" t="s">
        <v>362</v>
      </c>
      <c r="E145" s="33" t="s">
        <v>335</v>
      </c>
      <c r="F145" s="38" t="s">
        <v>139</v>
      </c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4:16" ht="19.5" thickBot="1" x14ac:dyDescent="0.35">
      <c r="D146" s="25" t="s">
        <v>264</v>
      </c>
      <c r="E146" s="33" t="s">
        <v>117</v>
      </c>
      <c r="F146" s="26" t="s">
        <v>139</v>
      </c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4:16" ht="19.5" thickBot="1" x14ac:dyDescent="0.35">
      <c r="D147" s="25" t="s">
        <v>107</v>
      </c>
      <c r="E147" s="33" t="s">
        <v>58</v>
      </c>
      <c r="F147" s="24" t="s">
        <v>139</v>
      </c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4:16" ht="19.5" thickBot="1" x14ac:dyDescent="0.35">
      <c r="D148" s="25" t="s">
        <v>35</v>
      </c>
      <c r="E148" s="33" t="s">
        <v>31</v>
      </c>
      <c r="F148" s="24" t="s">
        <v>139</v>
      </c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4:16" ht="19.5" thickBot="1" x14ac:dyDescent="0.35">
      <c r="D149" s="19" t="s">
        <v>478</v>
      </c>
      <c r="E149" s="20" t="s">
        <v>18</v>
      </c>
      <c r="F149" s="65" t="s">
        <v>139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4:16" ht="19.5" thickBot="1" x14ac:dyDescent="0.35">
      <c r="D150" s="25" t="s">
        <v>363</v>
      </c>
      <c r="E150" s="33" t="s">
        <v>335</v>
      </c>
      <c r="F150" s="38" t="s">
        <v>140</v>
      </c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4:16" ht="19.5" thickBot="1" x14ac:dyDescent="0.35">
      <c r="D151" s="25" t="s">
        <v>202</v>
      </c>
      <c r="E151" s="33" t="s">
        <v>117</v>
      </c>
      <c r="F151" s="26" t="s">
        <v>140</v>
      </c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4:16" ht="19.5" thickBot="1" x14ac:dyDescent="0.35">
      <c r="D152" s="25" t="s">
        <v>59</v>
      </c>
      <c r="E152" s="33" t="s">
        <v>58</v>
      </c>
      <c r="F152" s="24" t="s">
        <v>140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4:16" ht="19.5" thickBot="1" x14ac:dyDescent="0.35">
      <c r="D153" s="25" t="s">
        <v>47</v>
      </c>
      <c r="E153" s="33" t="s">
        <v>31</v>
      </c>
      <c r="F153" s="24" t="s">
        <v>140</v>
      </c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4:16" ht="19.5" thickBot="1" x14ac:dyDescent="0.35">
      <c r="D154" s="19" t="s">
        <v>479</v>
      </c>
      <c r="E154" s="20" t="s">
        <v>480</v>
      </c>
      <c r="F154" s="65" t="s">
        <v>140</v>
      </c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4:16" ht="19.5" thickBot="1" x14ac:dyDescent="0.35">
      <c r="D155" s="25" t="s">
        <v>364</v>
      </c>
      <c r="E155" s="33" t="s">
        <v>335</v>
      </c>
      <c r="F155" s="38" t="s">
        <v>141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4:16" ht="19.5" thickBot="1" x14ac:dyDescent="0.35">
      <c r="D156" s="25" t="s">
        <v>181</v>
      </c>
      <c r="E156" s="33" t="s">
        <v>117</v>
      </c>
      <c r="F156" s="26" t="s">
        <v>141</v>
      </c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4:16" ht="19.5" thickBot="1" x14ac:dyDescent="0.35">
      <c r="D157" s="25" t="s">
        <v>84</v>
      </c>
      <c r="E157" s="33" t="s">
        <v>58</v>
      </c>
      <c r="F157" s="24" t="s">
        <v>141</v>
      </c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4:16" ht="19.5" thickBot="1" x14ac:dyDescent="0.35">
      <c r="D158" s="25" t="s">
        <v>53</v>
      </c>
      <c r="E158" s="33" t="s">
        <v>31</v>
      </c>
      <c r="F158" s="24" t="s">
        <v>141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4:16" ht="19.5" thickBot="1" x14ac:dyDescent="0.35">
      <c r="D159" s="105" t="s">
        <v>493</v>
      </c>
      <c r="E159" s="66" t="s">
        <v>494</v>
      </c>
      <c r="F159" s="65" t="s">
        <v>141</v>
      </c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4:16" ht="19.5" thickBot="1" x14ac:dyDescent="0.35">
      <c r="D160" s="25" t="s">
        <v>365</v>
      </c>
      <c r="E160" s="33" t="s">
        <v>335</v>
      </c>
      <c r="F160" s="38" t="s">
        <v>142</v>
      </c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4:16" ht="19.5" thickBot="1" x14ac:dyDescent="0.35">
      <c r="D161" s="25" t="s">
        <v>179</v>
      </c>
      <c r="E161" s="33" t="s">
        <v>117</v>
      </c>
      <c r="F161" s="26" t="s">
        <v>142</v>
      </c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4:16" ht="19.5" thickBot="1" x14ac:dyDescent="0.35">
      <c r="D162" s="25" t="s">
        <v>74</v>
      </c>
      <c r="E162" s="33" t="s">
        <v>58</v>
      </c>
      <c r="F162" s="24" t="s">
        <v>142</v>
      </c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4:16" ht="19.5" thickBot="1" x14ac:dyDescent="0.35">
      <c r="D163" s="25" t="s">
        <v>49</v>
      </c>
      <c r="E163" s="33" t="s">
        <v>31</v>
      </c>
      <c r="F163" s="24" t="s">
        <v>142</v>
      </c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4:16" ht="19.5" thickBot="1" x14ac:dyDescent="0.35">
      <c r="D164" s="103" t="s">
        <v>481</v>
      </c>
      <c r="E164" s="64" t="s">
        <v>463</v>
      </c>
      <c r="F164" s="65" t="s">
        <v>142</v>
      </c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4:16" ht="19.5" thickBot="1" x14ac:dyDescent="0.35">
      <c r="D165" s="25" t="s">
        <v>366</v>
      </c>
      <c r="E165" s="33" t="s">
        <v>335</v>
      </c>
      <c r="F165" s="38" t="s">
        <v>143</v>
      </c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4:16" ht="19.5" thickBot="1" x14ac:dyDescent="0.35">
      <c r="D166" s="25" t="s">
        <v>223</v>
      </c>
      <c r="E166" s="33" t="s">
        <v>117</v>
      </c>
      <c r="F166" s="26" t="s">
        <v>143</v>
      </c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4:16" ht="19.5" thickBot="1" x14ac:dyDescent="0.35">
      <c r="D167" s="25" t="s">
        <v>113</v>
      </c>
      <c r="E167" s="33" t="s">
        <v>58</v>
      </c>
      <c r="F167" s="24" t="s">
        <v>143</v>
      </c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4:16" ht="19.5" thickBot="1" x14ac:dyDescent="0.35">
      <c r="D168" s="25" t="s">
        <v>37</v>
      </c>
      <c r="E168" s="33" t="s">
        <v>31</v>
      </c>
      <c r="F168" s="24" t="s">
        <v>143</v>
      </c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4:16" ht="19.5" thickBot="1" x14ac:dyDescent="0.35">
      <c r="D169" s="19" t="s">
        <v>523</v>
      </c>
      <c r="E169" s="20" t="s">
        <v>524</v>
      </c>
      <c r="F169" s="65" t="s">
        <v>143</v>
      </c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4:16" ht="19.5" thickBot="1" x14ac:dyDescent="0.35">
      <c r="D170" s="25" t="s">
        <v>367</v>
      </c>
      <c r="E170" s="33" t="s">
        <v>335</v>
      </c>
      <c r="F170" s="38" t="s">
        <v>144</v>
      </c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4:16" ht="19.5" thickBot="1" x14ac:dyDescent="0.35">
      <c r="D171" s="25" t="s">
        <v>229</v>
      </c>
      <c r="E171" s="33" t="s">
        <v>117</v>
      </c>
      <c r="F171" s="26" t="s">
        <v>144</v>
      </c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4:16" ht="19.5" thickBot="1" x14ac:dyDescent="0.35">
      <c r="D172" s="25" t="s">
        <v>110</v>
      </c>
      <c r="E172" s="33" t="s">
        <v>58</v>
      </c>
      <c r="F172" s="24" t="s">
        <v>144</v>
      </c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4:16" ht="19.5" thickBot="1" x14ac:dyDescent="0.35">
      <c r="D173" s="19" t="s">
        <v>482</v>
      </c>
      <c r="E173" s="20" t="s">
        <v>477</v>
      </c>
      <c r="F173" s="65" t="s">
        <v>144</v>
      </c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4:16" ht="19.5" thickBot="1" x14ac:dyDescent="0.35">
      <c r="D174" s="25" t="s">
        <v>368</v>
      </c>
      <c r="E174" s="33" t="s">
        <v>335</v>
      </c>
      <c r="F174" s="38" t="s">
        <v>145</v>
      </c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4:16" ht="19.5" thickBot="1" x14ac:dyDescent="0.35">
      <c r="D175" s="25" t="s">
        <v>225</v>
      </c>
      <c r="E175" s="33" t="s">
        <v>117</v>
      </c>
      <c r="F175" s="26" t="s">
        <v>145</v>
      </c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4:16" ht="19.5" thickBot="1" x14ac:dyDescent="0.35">
      <c r="D176" s="25" t="s">
        <v>68</v>
      </c>
      <c r="E176" s="33" t="s">
        <v>58</v>
      </c>
      <c r="F176" s="24" t="s">
        <v>145</v>
      </c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4:16" ht="19.5" thickBot="1" x14ac:dyDescent="0.35">
      <c r="D177" s="19" t="s">
        <v>483</v>
      </c>
      <c r="E177" s="20" t="s">
        <v>26</v>
      </c>
      <c r="F177" s="65" t="s">
        <v>145</v>
      </c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4:16" ht="19.5" thickBot="1" x14ac:dyDescent="0.35">
      <c r="D178" s="19" t="s">
        <v>369</v>
      </c>
      <c r="E178" s="33" t="s">
        <v>335</v>
      </c>
      <c r="F178" s="38" t="s">
        <v>146</v>
      </c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4:16" ht="19.5" thickBot="1" x14ac:dyDescent="0.35">
      <c r="D179" s="25" t="s">
        <v>240</v>
      </c>
      <c r="E179" s="33" t="s">
        <v>117</v>
      </c>
      <c r="F179" s="26" t="s">
        <v>146</v>
      </c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4:16" ht="19.5" thickBot="1" x14ac:dyDescent="0.35">
      <c r="D180" s="25" t="s">
        <v>116</v>
      </c>
      <c r="E180" s="33" t="s">
        <v>58</v>
      </c>
      <c r="F180" s="24" t="s">
        <v>146</v>
      </c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4:16" ht="19.5" thickBot="1" x14ac:dyDescent="0.35">
      <c r="D181" s="103" t="s">
        <v>484</v>
      </c>
      <c r="E181" s="64" t="s">
        <v>5</v>
      </c>
      <c r="F181" s="65" t="s">
        <v>146</v>
      </c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4:16" ht="19.5" thickBot="1" x14ac:dyDescent="0.35">
      <c r="D182" s="19" t="s">
        <v>370</v>
      </c>
      <c r="E182" s="33" t="s">
        <v>335</v>
      </c>
      <c r="F182" s="38" t="s">
        <v>147</v>
      </c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4:16" ht="19.5" thickBot="1" x14ac:dyDescent="0.35">
      <c r="D183" s="25" t="s">
        <v>187</v>
      </c>
      <c r="E183" s="33" t="s">
        <v>117</v>
      </c>
      <c r="F183" s="26" t="s">
        <v>147</v>
      </c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4:16" ht="19.5" thickBot="1" x14ac:dyDescent="0.35">
      <c r="D184" s="25" t="s">
        <v>82</v>
      </c>
      <c r="E184" s="33" t="s">
        <v>58</v>
      </c>
      <c r="F184" s="24" t="s">
        <v>147</v>
      </c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4:16" ht="19.5" thickBot="1" x14ac:dyDescent="0.35">
      <c r="D185" s="103" t="s">
        <v>486</v>
      </c>
      <c r="E185" s="64" t="s">
        <v>31</v>
      </c>
      <c r="F185" s="65" t="s">
        <v>147</v>
      </c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4:16" ht="19.5" thickBot="1" x14ac:dyDescent="0.35">
      <c r="D186" s="19" t="s">
        <v>371</v>
      </c>
      <c r="E186" s="33" t="s">
        <v>335</v>
      </c>
      <c r="F186" s="38" t="s">
        <v>148</v>
      </c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4:16" ht="19.5" thickBot="1" x14ac:dyDescent="0.35">
      <c r="D187" s="25" t="s">
        <v>241</v>
      </c>
      <c r="E187" s="33" t="s">
        <v>117</v>
      </c>
      <c r="F187" s="26" t="s">
        <v>148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4:16" ht="19.5" thickBot="1" x14ac:dyDescent="0.35">
      <c r="D188" s="25" t="s">
        <v>73</v>
      </c>
      <c r="E188" s="33" t="s">
        <v>58</v>
      </c>
      <c r="F188" s="24" t="s">
        <v>148</v>
      </c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4:16" ht="19.5" thickBot="1" x14ac:dyDescent="0.35">
      <c r="D189" s="103" t="s">
        <v>487</v>
      </c>
      <c r="E189" s="64" t="s">
        <v>7</v>
      </c>
      <c r="F189" s="65" t="s">
        <v>148</v>
      </c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4:16" ht="19.5" thickBot="1" x14ac:dyDescent="0.35">
      <c r="D190" s="19" t="s">
        <v>372</v>
      </c>
      <c r="E190" s="33" t="s">
        <v>335</v>
      </c>
      <c r="F190" s="38" t="s">
        <v>149</v>
      </c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4:16" ht="19.5" thickBot="1" x14ac:dyDescent="0.35">
      <c r="D191" s="25" t="s">
        <v>263</v>
      </c>
      <c r="E191" s="33" t="s">
        <v>117</v>
      </c>
      <c r="F191" s="26" t="s">
        <v>149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4:16" ht="19.5" thickBot="1" x14ac:dyDescent="0.35">
      <c r="D192" s="25" t="s">
        <v>106</v>
      </c>
      <c r="E192" s="33" t="s">
        <v>58</v>
      </c>
      <c r="F192" s="24" t="s">
        <v>149</v>
      </c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4:16" ht="19.5" thickBot="1" x14ac:dyDescent="0.35">
      <c r="D193" s="19" t="s">
        <v>488</v>
      </c>
      <c r="E193" s="20" t="s">
        <v>31</v>
      </c>
      <c r="F193" s="65" t="s">
        <v>149</v>
      </c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4:16" ht="19.5" thickBot="1" x14ac:dyDescent="0.35">
      <c r="D194" s="19" t="s">
        <v>373</v>
      </c>
      <c r="E194" s="33" t="s">
        <v>335</v>
      </c>
      <c r="F194" s="38" t="s">
        <v>150</v>
      </c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4:16" ht="19.5" thickBot="1" x14ac:dyDescent="0.35">
      <c r="D195" s="25" t="s">
        <v>268</v>
      </c>
      <c r="E195" s="33" t="s">
        <v>117</v>
      </c>
      <c r="F195" s="26" t="s">
        <v>150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4:16" ht="19.5" thickBot="1" x14ac:dyDescent="0.35">
      <c r="D196" s="25" t="s">
        <v>98</v>
      </c>
      <c r="E196" s="33" t="s">
        <v>58</v>
      </c>
      <c r="F196" s="24" t="s">
        <v>150</v>
      </c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4:16" ht="19.5" thickBot="1" x14ac:dyDescent="0.35">
      <c r="D197" s="103" t="s">
        <v>489</v>
      </c>
      <c r="E197" s="64" t="s">
        <v>490</v>
      </c>
      <c r="F197" s="65" t="s">
        <v>150</v>
      </c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4:16" ht="19.5" thickBot="1" x14ac:dyDescent="0.35">
      <c r="D198" s="19" t="s">
        <v>374</v>
      </c>
      <c r="E198" s="33" t="s">
        <v>335</v>
      </c>
      <c r="F198" s="38" t="s">
        <v>151</v>
      </c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4:16" ht="19.5" thickBot="1" x14ac:dyDescent="0.35">
      <c r="D199" s="25" t="s">
        <v>260</v>
      </c>
      <c r="E199" s="33" t="s">
        <v>117</v>
      </c>
      <c r="F199" s="26" t="s">
        <v>151</v>
      </c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4:16" ht="19.5" thickBot="1" x14ac:dyDescent="0.35">
      <c r="D200" s="25" t="s">
        <v>87</v>
      </c>
      <c r="E200" s="33" t="s">
        <v>58</v>
      </c>
      <c r="F200" s="24" t="s">
        <v>151</v>
      </c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4:16" ht="19.5" thickBot="1" x14ac:dyDescent="0.35">
      <c r="D201" s="103" t="s">
        <v>491</v>
      </c>
      <c r="E201" s="64" t="s">
        <v>492</v>
      </c>
      <c r="F201" s="65" t="s">
        <v>151</v>
      </c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4:16" ht="19.5" thickBot="1" x14ac:dyDescent="0.35">
      <c r="D202" s="19" t="s">
        <v>375</v>
      </c>
      <c r="E202" s="33" t="s">
        <v>335</v>
      </c>
      <c r="F202" s="38" t="s">
        <v>152</v>
      </c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4:16" ht="19.5" thickBot="1" x14ac:dyDescent="0.35">
      <c r="D203" s="25" t="s">
        <v>180</v>
      </c>
      <c r="E203" s="33" t="s">
        <v>117</v>
      </c>
      <c r="F203" s="26" t="s">
        <v>152</v>
      </c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4:16" ht="19.5" thickBot="1" x14ac:dyDescent="0.35">
      <c r="D204" s="25" t="s">
        <v>72</v>
      </c>
      <c r="E204" s="33" t="s">
        <v>58</v>
      </c>
      <c r="F204" s="24" t="s">
        <v>152</v>
      </c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4:16" ht="19.5" thickBot="1" x14ac:dyDescent="0.35">
      <c r="D205" s="103" t="s">
        <v>518</v>
      </c>
      <c r="E205" s="64"/>
      <c r="F205" s="65" t="s">
        <v>152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4:16" ht="19.5" thickBot="1" x14ac:dyDescent="0.35">
      <c r="D206" s="19" t="s">
        <v>376</v>
      </c>
      <c r="E206" s="33" t="s">
        <v>335</v>
      </c>
      <c r="F206" s="38" t="s">
        <v>153</v>
      </c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4:16" ht="19.5" thickBot="1" x14ac:dyDescent="0.35">
      <c r="D207" s="25" t="s">
        <v>198</v>
      </c>
      <c r="E207" s="33" t="s">
        <v>117</v>
      </c>
      <c r="F207" s="26" t="s">
        <v>153</v>
      </c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4:16" ht="19.5" thickBot="1" x14ac:dyDescent="0.35">
      <c r="D208" s="25" t="s">
        <v>92</v>
      </c>
      <c r="E208" s="33" t="s">
        <v>58</v>
      </c>
      <c r="F208" s="24" t="s">
        <v>153</v>
      </c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4:16" ht="19.5" thickBot="1" x14ac:dyDescent="0.35">
      <c r="D209" s="19" t="s">
        <v>485</v>
      </c>
      <c r="E209" s="20"/>
      <c r="F209" s="65" t="s">
        <v>153</v>
      </c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4:16" ht="19.5" thickBot="1" x14ac:dyDescent="0.35">
      <c r="D210" s="19" t="s">
        <v>377</v>
      </c>
      <c r="E210" s="33" t="s">
        <v>335</v>
      </c>
      <c r="F210" s="38" t="s">
        <v>154</v>
      </c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4:16" ht="19.5" thickBot="1" x14ac:dyDescent="0.35">
      <c r="D211" s="25" t="s">
        <v>186</v>
      </c>
      <c r="E211" s="33" t="s">
        <v>117</v>
      </c>
      <c r="F211" s="26" t="s">
        <v>154</v>
      </c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4:16" ht="19.5" thickBot="1" x14ac:dyDescent="0.35">
      <c r="D212" s="25" t="s">
        <v>105</v>
      </c>
      <c r="E212" s="33" t="s">
        <v>58</v>
      </c>
      <c r="F212" s="24" t="s">
        <v>154</v>
      </c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4:16" ht="19.5" thickBot="1" x14ac:dyDescent="0.35">
      <c r="D213" s="103" t="s">
        <v>495</v>
      </c>
      <c r="E213" s="64" t="s">
        <v>463</v>
      </c>
      <c r="F213" s="65" t="s">
        <v>154</v>
      </c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4:16" ht="19.5" thickBot="1" x14ac:dyDescent="0.35">
      <c r="D214" s="19" t="s">
        <v>378</v>
      </c>
      <c r="E214" s="33" t="s">
        <v>335</v>
      </c>
      <c r="F214" s="38" t="s">
        <v>155</v>
      </c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4:16" ht="19.5" thickBot="1" x14ac:dyDescent="0.35">
      <c r="D215" s="25" t="s">
        <v>214</v>
      </c>
      <c r="E215" s="33" t="s">
        <v>117</v>
      </c>
      <c r="F215" s="26" t="s">
        <v>155</v>
      </c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4:16" ht="19.5" thickBot="1" x14ac:dyDescent="0.35">
      <c r="D216" s="25" t="s">
        <v>114</v>
      </c>
      <c r="E216" s="33" t="s">
        <v>58</v>
      </c>
      <c r="F216" s="24" t="s">
        <v>155</v>
      </c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4:16" ht="19.5" thickBot="1" x14ac:dyDescent="0.35">
      <c r="D217" s="103" t="s">
        <v>496</v>
      </c>
      <c r="E217" s="64" t="s">
        <v>11</v>
      </c>
      <c r="F217" s="65" t="s">
        <v>155</v>
      </c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4:16" ht="19.5" thickBot="1" x14ac:dyDescent="0.35">
      <c r="D218" s="19" t="s">
        <v>379</v>
      </c>
      <c r="E218" s="33" t="s">
        <v>335</v>
      </c>
      <c r="F218" s="38" t="s">
        <v>156</v>
      </c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4:16" ht="19.5" thickBot="1" x14ac:dyDescent="0.35">
      <c r="D219" s="25" t="s">
        <v>267</v>
      </c>
      <c r="E219" s="33" t="s">
        <v>117</v>
      </c>
      <c r="F219" s="26" t="s">
        <v>156</v>
      </c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4:16" ht="19.5" thickBot="1" x14ac:dyDescent="0.35">
      <c r="D220" s="25" t="s">
        <v>86</v>
      </c>
      <c r="E220" s="33" t="s">
        <v>58</v>
      </c>
      <c r="F220" s="24" t="s">
        <v>156</v>
      </c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4:16" ht="19.5" thickBot="1" x14ac:dyDescent="0.35">
      <c r="D221" s="19" t="s">
        <v>497</v>
      </c>
      <c r="E221" s="20" t="s">
        <v>11</v>
      </c>
      <c r="F221" s="65" t="s">
        <v>156</v>
      </c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4:16" ht="19.5" thickBot="1" x14ac:dyDescent="0.35">
      <c r="D222" s="19" t="s">
        <v>380</v>
      </c>
      <c r="E222" s="33" t="s">
        <v>335</v>
      </c>
      <c r="F222" s="38" t="s">
        <v>157</v>
      </c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4:16" ht="19.5" thickBot="1" x14ac:dyDescent="0.35">
      <c r="D223" s="25" t="s">
        <v>184</v>
      </c>
      <c r="E223" s="33" t="s">
        <v>117</v>
      </c>
      <c r="F223" s="26" t="s">
        <v>157</v>
      </c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4:16" ht="19.5" thickBot="1" x14ac:dyDescent="0.35">
      <c r="D224" s="25" t="s">
        <v>65</v>
      </c>
      <c r="E224" s="33" t="s">
        <v>58</v>
      </c>
      <c r="F224" s="24" t="s">
        <v>157</v>
      </c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4:16" ht="19.5" thickBot="1" x14ac:dyDescent="0.35">
      <c r="D225" s="19" t="s">
        <v>498</v>
      </c>
      <c r="E225" s="20" t="s">
        <v>477</v>
      </c>
      <c r="F225" s="65" t="s">
        <v>157</v>
      </c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4:16" ht="19.5" thickBot="1" x14ac:dyDescent="0.35">
      <c r="D226" s="19" t="s">
        <v>381</v>
      </c>
      <c r="E226" s="33" t="s">
        <v>335</v>
      </c>
      <c r="F226" s="38" t="s">
        <v>158</v>
      </c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4:16" ht="19.5" thickBot="1" x14ac:dyDescent="0.35">
      <c r="D227" s="25" t="s">
        <v>178</v>
      </c>
      <c r="E227" s="33" t="s">
        <v>117</v>
      </c>
      <c r="F227" s="26" t="s">
        <v>158</v>
      </c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4:16" ht="19.5" thickBot="1" x14ac:dyDescent="0.35">
      <c r="D228" s="25" t="s">
        <v>64</v>
      </c>
      <c r="E228" s="33" t="s">
        <v>58</v>
      </c>
      <c r="F228" s="24" t="s">
        <v>158</v>
      </c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4:16" ht="19.5" thickBot="1" x14ac:dyDescent="0.35">
      <c r="D229" s="105" t="s">
        <v>499</v>
      </c>
      <c r="E229" s="66" t="s">
        <v>455</v>
      </c>
      <c r="F229" s="65" t="s">
        <v>158</v>
      </c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4:16" ht="19.5" thickBot="1" x14ac:dyDescent="0.35">
      <c r="D230" s="19" t="s">
        <v>382</v>
      </c>
      <c r="E230" s="33" t="s">
        <v>335</v>
      </c>
      <c r="F230" s="38" t="s">
        <v>159</v>
      </c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4:16" ht="19.5" thickBot="1" x14ac:dyDescent="0.35">
      <c r="D231" s="25" t="s">
        <v>266</v>
      </c>
      <c r="E231" s="33" t="s">
        <v>117</v>
      </c>
      <c r="F231" s="26" t="s">
        <v>159</v>
      </c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4:16" ht="19.5" thickBot="1" x14ac:dyDescent="0.35">
      <c r="D232" s="25" t="s">
        <v>80</v>
      </c>
      <c r="E232" s="33" t="s">
        <v>58</v>
      </c>
      <c r="F232" s="24" t="s">
        <v>159</v>
      </c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4:16" ht="19.5" thickBot="1" x14ac:dyDescent="0.35">
      <c r="D233" s="104" t="s">
        <v>500</v>
      </c>
      <c r="E233" s="20" t="s">
        <v>16</v>
      </c>
      <c r="F233" s="65" t="s">
        <v>159</v>
      </c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4:16" ht="19.5" thickBot="1" x14ac:dyDescent="0.35">
      <c r="D234" s="104" t="s">
        <v>383</v>
      </c>
      <c r="E234" s="33" t="s">
        <v>335</v>
      </c>
      <c r="F234" s="38" t="s">
        <v>160</v>
      </c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4:16" ht="19.5" thickBot="1" x14ac:dyDescent="0.35">
      <c r="D235" s="23" t="s">
        <v>215</v>
      </c>
      <c r="E235" s="33" t="s">
        <v>117</v>
      </c>
      <c r="F235" s="26" t="s">
        <v>160</v>
      </c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4:16" ht="19.5" thickBot="1" x14ac:dyDescent="0.35">
      <c r="D236" s="23" t="s">
        <v>83</v>
      </c>
      <c r="E236" s="33" t="s">
        <v>58</v>
      </c>
      <c r="F236" s="24" t="s">
        <v>160</v>
      </c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4:16" ht="19.5" thickBot="1" x14ac:dyDescent="0.35">
      <c r="D237" s="106" t="s">
        <v>501</v>
      </c>
      <c r="E237" s="64" t="s">
        <v>455</v>
      </c>
      <c r="F237" s="65" t="s">
        <v>160</v>
      </c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4:16" ht="19.5" thickBot="1" x14ac:dyDescent="0.35">
      <c r="D238" s="104" t="s">
        <v>384</v>
      </c>
      <c r="E238" s="33" t="s">
        <v>335</v>
      </c>
      <c r="F238" s="38" t="s">
        <v>161</v>
      </c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4:16" ht="19.5" thickBot="1" x14ac:dyDescent="0.35">
      <c r="D239" s="23" t="s">
        <v>199</v>
      </c>
      <c r="E239" s="33" t="s">
        <v>117</v>
      </c>
      <c r="F239" s="26" t="s">
        <v>161</v>
      </c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4:16" ht="19.5" thickBot="1" x14ac:dyDescent="0.35">
      <c r="D240" s="23" t="s">
        <v>93</v>
      </c>
      <c r="E240" s="33" t="s">
        <v>58</v>
      </c>
      <c r="F240" s="24" t="s">
        <v>161</v>
      </c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4:16" ht="19.5" thickBot="1" x14ac:dyDescent="0.35">
      <c r="D241" s="104" t="s">
        <v>502</v>
      </c>
      <c r="E241" s="20" t="s">
        <v>18</v>
      </c>
      <c r="F241" s="65" t="s">
        <v>161</v>
      </c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4:16" ht="19.5" thickBot="1" x14ac:dyDescent="0.35">
      <c r="D242" s="104" t="s">
        <v>385</v>
      </c>
      <c r="E242" s="33" t="s">
        <v>335</v>
      </c>
      <c r="F242" s="38" t="s">
        <v>162</v>
      </c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4:16" ht="19.5" thickBot="1" x14ac:dyDescent="0.35">
      <c r="D243" s="23" t="s">
        <v>197</v>
      </c>
      <c r="E243" s="33" t="s">
        <v>117</v>
      </c>
      <c r="F243" s="26" t="s">
        <v>162</v>
      </c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4:16" ht="19.5" thickBot="1" x14ac:dyDescent="0.35">
      <c r="D244" s="23" t="s">
        <v>63</v>
      </c>
      <c r="E244" s="33" t="s">
        <v>58</v>
      </c>
      <c r="F244" s="24" t="s">
        <v>162</v>
      </c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4:16" ht="19.5" thickBot="1" x14ac:dyDescent="0.35">
      <c r="D245" s="106" t="s">
        <v>503</v>
      </c>
      <c r="E245" s="64" t="s">
        <v>5</v>
      </c>
      <c r="F245" s="65" t="s">
        <v>162</v>
      </c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4:16" ht="19.5" thickBot="1" x14ac:dyDescent="0.35">
      <c r="D246" s="104" t="s">
        <v>386</v>
      </c>
      <c r="E246" s="33" t="s">
        <v>335</v>
      </c>
      <c r="F246" s="38" t="s">
        <v>163</v>
      </c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4:16" ht="19.5" thickBot="1" x14ac:dyDescent="0.35">
      <c r="D247" s="23" t="s">
        <v>249</v>
      </c>
      <c r="E247" s="33" t="s">
        <v>117</v>
      </c>
      <c r="F247" s="26" t="s">
        <v>163</v>
      </c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4:16" ht="19.5" thickBot="1" x14ac:dyDescent="0.35">
      <c r="D248" s="23" t="s">
        <v>89</v>
      </c>
      <c r="E248" s="33" t="s">
        <v>58</v>
      </c>
      <c r="F248" s="24" t="s">
        <v>163</v>
      </c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4:16" ht="19.5" thickBot="1" x14ac:dyDescent="0.35">
      <c r="D249" s="104" t="s">
        <v>504</v>
      </c>
      <c r="E249" s="20" t="s">
        <v>477</v>
      </c>
      <c r="F249" s="65" t="s">
        <v>163</v>
      </c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4:16" ht="19.5" thickBot="1" x14ac:dyDescent="0.35">
      <c r="D250" s="104" t="s">
        <v>387</v>
      </c>
      <c r="E250" s="33" t="s">
        <v>335</v>
      </c>
      <c r="F250" s="38" t="s">
        <v>164</v>
      </c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4:16" ht="19.5" thickBot="1" x14ac:dyDescent="0.35">
      <c r="D251" s="23" t="s">
        <v>236</v>
      </c>
      <c r="E251" s="33" t="s">
        <v>117</v>
      </c>
      <c r="F251" s="26" t="s">
        <v>164</v>
      </c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4:16" ht="19.5" thickBot="1" x14ac:dyDescent="0.35">
      <c r="D252" s="23" t="s">
        <v>79</v>
      </c>
      <c r="E252" s="33" t="s">
        <v>58</v>
      </c>
      <c r="F252" s="24" t="s">
        <v>164</v>
      </c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4:16" ht="19.5" thickBot="1" x14ac:dyDescent="0.35">
      <c r="D253" s="104" t="s">
        <v>505</v>
      </c>
      <c r="E253" s="20" t="s">
        <v>463</v>
      </c>
      <c r="F253" s="65" t="s">
        <v>164</v>
      </c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4:16" ht="19.5" thickBot="1" x14ac:dyDescent="0.35">
      <c r="D254" s="104" t="s">
        <v>388</v>
      </c>
      <c r="E254" s="33" t="s">
        <v>335</v>
      </c>
      <c r="F254" s="38" t="s">
        <v>165</v>
      </c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4:16" ht="19.5" thickBot="1" x14ac:dyDescent="0.35">
      <c r="D255" s="23" t="s">
        <v>228</v>
      </c>
      <c r="E255" s="33" t="s">
        <v>117</v>
      </c>
      <c r="F255" s="26" t="s">
        <v>165</v>
      </c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4:16" ht="19.5" thickBot="1" x14ac:dyDescent="0.35">
      <c r="D256" s="23" t="s">
        <v>78</v>
      </c>
      <c r="E256" s="33" t="s">
        <v>58</v>
      </c>
      <c r="F256" s="24" t="s">
        <v>165</v>
      </c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4:16" ht="19.5" thickBot="1" x14ac:dyDescent="0.35">
      <c r="D257" s="107" t="s">
        <v>506</v>
      </c>
      <c r="E257" s="68" t="s">
        <v>492</v>
      </c>
      <c r="F257" s="65" t="s">
        <v>165</v>
      </c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4:16" ht="19.5" thickBot="1" x14ac:dyDescent="0.35">
      <c r="D258" s="104" t="s">
        <v>389</v>
      </c>
      <c r="E258" s="33" t="s">
        <v>335</v>
      </c>
      <c r="F258" s="38" t="s">
        <v>166</v>
      </c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4:16" ht="19.5" thickBot="1" x14ac:dyDescent="0.35">
      <c r="D259" s="23" t="s">
        <v>206</v>
      </c>
      <c r="E259" s="33" t="s">
        <v>117</v>
      </c>
      <c r="F259" s="26" t="s">
        <v>166</v>
      </c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4:16" ht="19.5" thickBot="1" x14ac:dyDescent="0.35">
      <c r="D260" s="23" t="s">
        <v>109</v>
      </c>
      <c r="E260" s="33" t="s">
        <v>58</v>
      </c>
      <c r="F260" s="24" t="s">
        <v>166</v>
      </c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4:16" ht="19.5" thickBot="1" x14ac:dyDescent="0.35">
      <c r="D261" s="104" t="s">
        <v>508</v>
      </c>
      <c r="E261" s="20" t="s">
        <v>5</v>
      </c>
      <c r="F261" s="65" t="s">
        <v>166</v>
      </c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4:16" ht="19.5" thickBot="1" x14ac:dyDescent="0.35">
      <c r="D262" s="104" t="s">
        <v>390</v>
      </c>
      <c r="E262" s="33" t="s">
        <v>335</v>
      </c>
      <c r="F262" s="38" t="s">
        <v>167</v>
      </c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4:16" ht="19.5" thickBot="1" x14ac:dyDescent="0.35">
      <c r="D263" s="23" t="s">
        <v>217</v>
      </c>
      <c r="E263" s="33" t="s">
        <v>117</v>
      </c>
      <c r="F263" s="26" t="s">
        <v>167</v>
      </c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4:16" ht="19.5" thickBot="1" x14ac:dyDescent="0.35">
      <c r="D264" s="23" t="s">
        <v>103</v>
      </c>
      <c r="E264" s="33" t="s">
        <v>58</v>
      </c>
      <c r="F264" s="24" t="s">
        <v>167</v>
      </c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4:16" ht="19.5" thickBot="1" x14ac:dyDescent="0.35">
      <c r="D265" s="104" t="s">
        <v>509</v>
      </c>
      <c r="E265" s="20" t="s">
        <v>18</v>
      </c>
      <c r="F265" s="65" t="s">
        <v>167</v>
      </c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4:16" ht="19.5" thickBot="1" x14ac:dyDescent="0.35">
      <c r="D266" s="104" t="s">
        <v>391</v>
      </c>
      <c r="E266" s="33" t="s">
        <v>335</v>
      </c>
      <c r="F266" s="38" t="s">
        <v>168</v>
      </c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4:16" ht="19.5" thickBot="1" x14ac:dyDescent="0.35">
      <c r="D267" s="23" t="s">
        <v>207</v>
      </c>
      <c r="E267" s="33" t="s">
        <v>117</v>
      </c>
      <c r="F267" s="26" t="s">
        <v>168</v>
      </c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4:16" ht="19.5" thickBot="1" x14ac:dyDescent="0.35">
      <c r="D268" s="23" t="s">
        <v>77</v>
      </c>
      <c r="E268" s="33" t="s">
        <v>58</v>
      </c>
      <c r="F268" s="24" t="s">
        <v>168</v>
      </c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4:16" ht="19.5" thickBot="1" x14ac:dyDescent="0.35">
      <c r="D269" s="106" t="s">
        <v>510</v>
      </c>
      <c r="E269" s="64" t="s">
        <v>11</v>
      </c>
      <c r="F269" s="65" t="s">
        <v>168</v>
      </c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4:16" ht="19.5" thickBot="1" x14ac:dyDescent="0.35">
      <c r="D270" s="104" t="s">
        <v>392</v>
      </c>
      <c r="E270" s="33" t="s">
        <v>335</v>
      </c>
      <c r="F270" s="38" t="s">
        <v>169</v>
      </c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4:16" ht="19.5" thickBot="1" x14ac:dyDescent="0.35">
      <c r="D271" s="23" t="s">
        <v>262</v>
      </c>
      <c r="E271" s="33" t="s">
        <v>117</v>
      </c>
      <c r="F271" s="26" t="s">
        <v>169</v>
      </c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4:16" ht="19.5" thickBot="1" x14ac:dyDescent="0.35">
      <c r="D272" s="23" t="s">
        <v>96</v>
      </c>
      <c r="E272" s="33" t="s">
        <v>58</v>
      </c>
      <c r="F272" s="24" t="s">
        <v>169</v>
      </c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4:16" ht="19.5" thickBot="1" x14ac:dyDescent="0.35">
      <c r="D273" s="104" t="s">
        <v>511</v>
      </c>
      <c r="E273" s="20" t="s">
        <v>512</v>
      </c>
      <c r="F273" s="65" t="s">
        <v>169</v>
      </c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4:16" ht="19.5" thickBot="1" x14ac:dyDescent="0.35">
      <c r="D274" s="104" t="s">
        <v>393</v>
      </c>
      <c r="E274" s="33" t="s">
        <v>335</v>
      </c>
      <c r="F274" s="38" t="s">
        <v>170</v>
      </c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4:16" ht="19.5" thickBot="1" x14ac:dyDescent="0.35">
      <c r="D275" s="23" t="s">
        <v>209</v>
      </c>
      <c r="E275" s="33" t="s">
        <v>117</v>
      </c>
      <c r="F275" s="26" t="s">
        <v>170</v>
      </c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4:16" ht="19.5" thickBot="1" x14ac:dyDescent="0.35">
      <c r="D276" s="23" t="s">
        <v>95</v>
      </c>
      <c r="E276" s="33" t="s">
        <v>58</v>
      </c>
      <c r="F276" s="24" t="s">
        <v>170</v>
      </c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4:16" ht="19.5" thickBot="1" x14ac:dyDescent="0.35">
      <c r="D277" s="106" t="s">
        <v>513</v>
      </c>
      <c r="E277" s="64" t="s">
        <v>455</v>
      </c>
      <c r="F277" s="65" t="s">
        <v>170</v>
      </c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4:16" ht="19.5" thickBot="1" x14ac:dyDescent="0.35">
      <c r="D278" s="104" t="s">
        <v>394</v>
      </c>
      <c r="E278" s="33" t="s">
        <v>335</v>
      </c>
      <c r="F278" s="38" t="s">
        <v>171</v>
      </c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4:16" ht="19.5" thickBot="1" x14ac:dyDescent="0.35">
      <c r="D279" s="23" t="s">
        <v>193</v>
      </c>
      <c r="E279" s="33" t="s">
        <v>117</v>
      </c>
      <c r="F279" s="26" t="s">
        <v>171</v>
      </c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4:16" ht="19.5" thickBot="1" x14ac:dyDescent="0.35">
      <c r="D280" s="23" t="s">
        <v>85</v>
      </c>
      <c r="E280" s="33" t="s">
        <v>58</v>
      </c>
      <c r="F280" s="24" t="s">
        <v>171</v>
      </c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4:16" ht="19.5" thickBot="1" x14ac:dyDescent="0.35">
      <c r="D281" s="106" t="s">
        <v>514</v>
      </c>
      <c r="E281" s="64" t="s">
        <v>515</v>
      </c>
      <c r="F281" s="65" t="s">
        <v>171</v>
      </c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4:16" ht="19.5" thickBot="1" x14ac:dyDescent="0.35">
      <c r="D282" s="104" t="s">
        <v>395</v>
      </c>
      <c r="E282" s="33" t="s">
        <v>335</v>
      </c>
      <c r="F282" s="38" t="s">
        <v>172</v>
      </c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4:16" ht="19.5" thickBot="1" x14ac:dyDescent="0.35">
      <c r="D283" s="23" t="s">
        <v>254</v>
      </c>
      <c r="E283" s="33" t="s">
        <v>117</v>
      </c>
      <c r="F283" s="26" t="s">
        <v>172</v>
      </c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4:16" ht="19.5" thickBot="1" x14ac:dyDescent="0.35">
      <c r="D284" s="23" t="s">
        <v>97</v>
      </c>
      <c r="E284" s="33" t="s">
        <v>58</v>
      </c>
      <c r="F284" s="24" t="s">
        <v>172</v>
      </c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4:16" ht="19.5" thickBot="1" x14ac:dyDescent="0.35">
      <c r="D285" s="106" t="s">
        <v>516</v>
      </c>
      <c r="E285" s="64" t="s">
        <v>5</v>
      </c>
      <c r="F285" s="65" t="s">
        <v>172</v>
      </c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4:16" ht="19.5" thickBot="1" x14ac:dyDescent="0.35">
      <c r="D286" s="104" t="s">
        <v>396</v>
      </c>
      <c r="E286" s="33" t="s">
        <v>335</v>
      </c>
      <c r="F286" s="38" t="s">
        <v>173</v>
      </c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4:16" ht="19.5" thickBot="1" x14ac:dyDescent="0.35">
      <c r="D287" s="23" t="s">
        <v>219</v>
      </c>
      <c r="E287" s="33" t="s">
        <v>117</v>
      </c>
      <c r="F287" s="26" t="s">
        <v>173</v>
      </c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4:16" ht="19.5" thickBot="1" x14ac:dyDescent="0.35">
      <c r="D288" s="23" t="s">
        <v>88</v>
      </c>
      <c r="E288" s="33" t="s">
        <v>58</v>
      </c>
      <c r="F288" s="24" t="s">
        <v>173</v>
      </c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4:16" ht="19.5" thickBot="1" x14ac:dyDescent="0.35">
      <c r="D289" s="106" t="s">
        <v>517</v>
      </c>
      <c r="E289" s="64" t="s">
        <v>492</v>
      </c>
      <c r="F289" s="65" t="s">
        <v>173</v>
      </c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4:16" ht="19.5" thickBot="1" x14ac:dyDescent="0.35">
      <c r="D290" s="104" t="s">
        <v>397</v>
      </c>
      <c r="E290" s="33" t="s">
        <v>335</v>
      </c>
      <c r="F290" s="38" t="s">
        <v>174</v>
      </c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4:16" ht="19.5" thickBot="1" x14ac:dyDescent="0.35">
      <c r="D291" s="27" t="s">
        <v>234</v>
      </c>
      <c r="E291" s="35" t="s">
        <v>117</v>
      </c>
      <c r="F291" s="26" t="s">
        <v>174</v>
      </c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4:16" ht="19.5" thickBot="1" x14ac:dyDescent="0.35">
      <c r="D292" s="25" t="s">
        <v>90</v>
      </c>
      <c r="E292" s="33" t="s">
        <v>58</v>
      </c>
      <c r="F292" s="24" t="s">
        <v>174</v>
      </c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4:16" ht="19.5" thickBot="1" x14ac:dyDescent="0.35">
      <c r="D293" s="19" t="s">
        <v>519</v>
      </c>
      <c r="E293" s="20" t="s">
        <v>31</v>
      </c>
      <c r="F293" s="65" t="s">
        <v>174</v>
      </c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4:16" ht="19.5" thickBot="1" x14ac:dyDescent="0.35">
      <c r="D294" s="19" t="s">
        <v>398</v>
      </c>
      <c r="E294" s="33" t="s">
        <v>335</v>
      </c>
      <c r="F294" s="38" t="s">
        <v>175</v>
      </c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4:16" ht="19.5" thickBot="1" x14ac:dyDescent="0.35">
      <c r="D295" s="25" t="s">
        <v>196</v>
      </c>
      <c r="E295" s="33" t="s">
        <v>117</v>
      </c>
      <c r="F295" s="26" t="s">
        <v>175</v>
      </c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4:16" ht="19.5" thickBot="1" x14ac:dyDescent="0.35">
      <c r="D296" s="25" t="s">
        <v>99</v>
      </c>
      <c r="E296" s="33" t="s">
        <v>58</v>
      </c>
      <c r="F296" s="24" t="s">
        <v>175</v>
      </c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4:16" ht="19.5" thickBot="1" x14ac:dyDescent="0.35">
      <c r="D297" s="103" t="s">
        <v>520</v>
      </c>
      <c r="E297" s="64" t="s">
        <v>16</v>
      </c>
      <c r="F297" s="65" t="s">
        <v>175</v>
      </c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4:16" ht="19.5" thickBot="1" x14ac:dyDescent="0.35">
      <c r="D298" s="19" t="s">
        <v>399</v>
      </c>
      <c r="E298" s="33" t="s">
        <v>335</v>
      </c>
      <c r="F298" s="38" t="s">
        <v>176</v>
      </c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4:16" ht="19.5" thickBot="1" x14ac:dyDescent="0.35">
      <c r="D299" s="25" t="s">
        <v>182</v>
      </c>
      <c r="E299" s="33" t="s">
        <v>117</v>
      </c>
      <c r="F299" s="26" t="s">
        <v>176</v>
      </c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4:16" ht="19.5" thickBot="1" x14ac:dyDescent="0.35">
      <c r="D300" s="25" t="s">
        <v>108</v>
      </c>
      <c r="E300" s="33" t="s">
        <v>58</v>
      </c>
      <c r="F300" s="24" t="s">
        <v>176</v>
      </c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4:16" ht="19.5" thickBot="1" x14ac:dyDescent="0.35">
      <c r="D301" s="103" t="s">
        <v>521</v>
      </c>
      <c r="E301" s="64" t="s">
        <v>31</v>
      </c>
      <c r="F301" s="65" t="s">
        <v>176</v>
      </c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4:16" ht="19.5" thickBot="1" x14ac:dyDescent="0.35">
      <c r="D302" s="19" t="s">
        <v>400</v>
      </c>
      <c r="E302" s="33" t="s">
        <v>335</v>
      </c>
      <c r="F302" s="38" t="s">
        <v>278</v>
      </c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4:16" ht="19.5" thickBot="1" x14ac:dyDescent="0.35">
      <c r="D303" s="25" t="s">
        <v>192</v>
      </c>
      <c r="E303" s="33" t="s">
        <v>117</v>
      </c>
      <c r="F303" s="26" t="s">
        <v>278</v>
      </c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4:16" ht="19.5" thickBot="1" x14ac:dyDescent="0.35">
      <c r="D304" s="103" t="s">
        <v>522</v>
      </c>
      <c r="E304" s="64" t="s">
        <v>492</v>
      </c>
      <c r="F304" s="65" t="s">
        <v>278</v>
      </c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4:16" ht="19.5" thickBot="1" x14ac:dyDescent="0.35">
      <c r="D305" s="19" t="s">
        <v>401</v>
      </c>
      <c r="E305" s="33" t="s">
        <v>335</v>
      </c>
      <c r="F305" s="38" t="s">
        <v>279</v>
      </c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4:16" ht="19.5" thickBot="1" x14ac:dyDescent="0.35">
      <c r="D306" s="25" t="s">
        <v>183</v>
      </c>
      <c r="E306" s="33" t="s">
        <v>117</v>
      </c>
      <c r="F306" s="26" t="s">
        <v>279</v>
      </c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4:16" ht="19.5" thickBot="1" x14ac:dyDescent="0.35">
      <c r="D307" s="103" t="s">
        <v>530</v>
      </c>
      <c r="E307" s="64" t="s">
        <v>455</v>
      </c>
      <c r="F307" s="65" t="s">
        <v>279</v>
      </c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4:16" ht="19.5" thickBot="1" x14ac:dyDescent="0.35">
      <c r="D308" s="19" t="s">
        <v>402</v>
      </c>
      <c r="E308" s="33" t="s">
        <v>335</v>
      </c>
      <c r="F308" s="38" t="s">
        <v>280</v>
      </c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4:16" ht="19.5" thickBot="1" x14ac:dyDescent="0.35">
      <c r="D309" s="25" t="s">
        <v>204</v>
      </c>
      <c r="E309" s="33" t="s">
        <v>117</v>
      </c>
      <c r="F309" s="26" t="s">
        <v>280</v>
      </c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4:16" ht="19.5" thickBot="1" x14ac:dyDescent="0.35">
      <c r="D310" s="105" t="s">
        <v>525</v>
      </c>
      <c r="E310" s="66" t="s">
        <v>492</v>
      </c>
      <c r="F310" s="65" t="s">
        <v>280</v>
      </c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4:16" ht="19.5" thickBot="1" x14ac:dyDescent="0.35">
      <c r="D311" s="19" t="s">
        <v>403</v>
      </c>
      <c r="E311" s="33" t="s">
        <v>335</v>
      </c>
      <c r="F311" s="38" t="s">
        <v>281</v>
      </c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4:16" ht="19.5" thickBot="1" x14ac:dyDescent="0.35">
      <c r="D312" s="25" t="s">
        <v>247</v>
      </c>
      <c r="E312" s="33" t="s">
        <v>117</v>
      </c>
      <c r="F312" s="26" t="s">
        <v>281</v>
      </c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4:16" ht="19.5" thickBot="1" x14ac:dyDescent="0.35">
      <c r="D313" s="105" t="s">
        <v>526</v>
      </c>
      <c r="E313" s="66" t="s">
        <v>492</v>
      </c>
      <c r="F313" s="65" t="s">
        <v>281</v>
      </c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4:16" ht="19.5" thickBot="1" x14ac:dyDescent="0.35">
      <c r="D314" s="19" t="s">
        <v>404</v>
      </c>
      <c r="E314" s="33" t="s">
        <v>335</v>
      </c>
      <c r="F314" s="38" t="s">
        <v>282</v>
      </c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4:16" ht="19.5" thickBot="1" x14ac:dyDescent="0.35">
      <c r="D315" s="25" t="s">
        <v>230</v>
      </c>
      <c r="E315" s="33" t="s">
        <v>117</v>
      </c>
      <c r="F315" s="26" t="s">
        <v>282</v>
      </c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4:16" ht="19.5" thickBot="1" x14ac:dyDescent="0.35">
      <c r="D316" s="103" t="s">
        <v>527</v>
      </c>
      <c r="E316" s="64" t="s">
        <v>477</v>
      </c>
      <c r="F316" s="65" t="s">
        <v>282</v>
      </c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4:16" ht="19.5" thickBot="1" x14ac:dyDescent="0.35">
      <c r="D317" s="19" t="s">
        <v>405</v>
      </c>
      <c r="E317" s="33" t="s">
        <v>335</v>
      </c>
      <c r="F317" s="38" t="s">
        <v>283</v>
      </c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4:16" ht="19.5" thickBot="1" x14ac:dyDescent="0.35">
      <c r="D318" s="23" t="s">
        <v>222</v>
      </c>
      <c r="E318" s="24" t="s">
        <v>117</v>
      </c>
      <c r="F318" s="26" t="s">
        <v>283</v>
      </c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4:16" ht="19.5" thickBot="1" x14ac:dyDescent="0.35">
      <c r="D319" s="106" t="s">
        <v>507</v>
      </c>
      <c r="E319" s="65"/>
      <c r="F319" s="65" t="s">
        <v>283</v>
      </c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4:16" ht="19.5" thickBot="1" x14ac:dyDescent="0.35">
      <c r="D320" s="104" t="s">
        <v>406</v>
      </c>
      <c r="E320" s="24" t="s">
        <v>335</v>
      </c>
      <c r="F320" s="38" t="s">
        <v>284</v>
      </c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4:16" ht="19.5" thickBot="1" x14ac:dyDescent="0.35">
      <c r="D321" s="24" t="s">
        <v>216</v>
      </c>
      <c r="E321" s="28" t="s">
        <v>117</v>
      </c>
      <c r="F321" s="26" t="s">
        <v>284</v>
      </c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4:16" ht="19.5" thickBot="1" x14ac:dyDescent="0.35">
      <c r="D322" s="106" t="s">
        <v>541</v>
      </c>
      <c r="E322" s="65"/>
      <c r="F322" s="65" t="s">
        <v>284</v>
      </c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4:16" ht="19.5" thickBot="1" x14ac:dyDescent="0.35">
      <c r="D323" s="104" t="s">
        <v>407</v>
      </c>
      <c r="E323" s="24" t="s">
        <v>335</v>
      </c>
      <c r="F323" s="38" t="s">
        <v>285</v>
      </c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4:16" ht="19.5" thickBot="1" x14ac:dyDescent="0.35">
      <c r="D324" s="23" t="s">
        <v>191</v>
      </c>
      <c r="E324" s="24" t="s">
        <v>117</v>
      </c>
      <c r="F324" s="26" t="s">
        <v>285</v>
      </c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4:16" ht="19.5" thickBot="1" x14ac:dyDescent="0.35">
      <c r="D325" s="104" t="s">
        <v>528</v>
      </c>
      <c r="E325" s="26" t="s">
        <v>512</v>
      </c>
      <c r="F325" s="65" t="s">
        <v>285</v>
      </c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4:16" ht="19.5" thickBot="1" x14ac:dyDescent="0.35">
      <c r="D326" s="104" t="s">
        <v>408</v>
      </c>
      <c r="E326" s="24" t="s">
        <v>335</v>
      </c>
      <c r="F326" s="38" t="s">
        <v>286</v>
      </c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4:16" ht="19.5" thickBot="1" x14ac:dyDescent="0.35">
      <c r="D327" s="23" t="s">
        <v>231</v>
      </c>
      <c r="E327" s="24" t="s">
        <v>117</v>
      </c>
      <c r="F327" s="26" t="s">
        <v>286</v>
      </c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4:16" ht="19.5" thickBot="1" x14ac:dyDescent="0.35">
      <c r="D328" s="109" t="s">
        <v>529</v>
      </c>
      <c r="E328" s="65" t="s">
        <v>16</v>
      </c>
      <c r="F328" s="65" t="s">
        <v>286</v>
      </c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4:16" ht="19.5" thickBot="1" x14ac:dyDescent="0.35">
      <c r="D329" s="104" t="s">
        <v>409</v>
      </c>
      <c r="E329" s="24" t="s">
        <v>335</v>
      </c>
      <c r="F329" s="116" t="s">
        <v>287</v>
      </c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4:16" ht="19.5" thickBot="1" x14ac:dyDescent="0.35">
      <c r="D330" s="23" t="s">
        <v>220</v>
      </c>
      <c r="E330" s="24" t="s">
        <v>117</v>
      </c>
      <c r="F330" s="113" t="s">
        <v>287</v>
      </c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4:16" ht="19.5" thickBot="1" x14ac:dyDescent="0.35">
      <c r="D331" s="106" t="s">
        <v>531</v>
      </c>
      <c r="E331" s="65" t="s">
        <v>492</v>
      </c>
      <c r="F331" s="119" t="s">
        <v>287</v>
      </c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4:16" ht="19.5" thickBot="1" x14ac:dyDescent="0.35">
      <c r="D332" s="104" t="s">
        <v>410</v>
      </c>
      <c r="E332" s="24" t="s">
        <v>335</v>
      </c>
      <c r="F332" s="118" t="s">
        <v>288</v>
      </c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4:16" ht="19.5" thickBot="1" x14ac:dyDescent="0.35">
      <c r="D333" s="24" t="s">
        <v>205</v>
      </c>
      <c r="E333" s="24" t="s">
        <v>117</v>
      </c>
      <c r="F333" s="113" t="s">
        <v>288</v>
      </c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4:16" ht="19.5" thickBot="1" x14ac:dyDescent="0.35">
      <c r="D334" s="19" t="s">
        <v>532</v>
      </c>
      <c r="E334" s="26" t="s">
        <v>26</v>
      </c>
      <c r="F334" s="115" t="s">
        <v>288</v>
      </c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4:16" ht="19.5" thickBot="1" x14ac:dyDescent="0.35">
      <c r="D335" s="75" t="s">
        <v>411</v>
      </c>
      <c r="E335" s="110" t="s">
        <v>335</v>
      </c>
      <c r="F335" s="114" t="s">
        <v>289</v>
      </c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4:16" ht="19.5" thickBot="1" x14ac:dyDescent="0.35">
      <c r="D336" s="33" t="s">
        <v>244</v>
      </c>
      <c r="E336" s="24" t="s">
        <v>117</v>
      </c>
      <c r="F336" s="26" t="s">
        <v>289</v>
      </c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4:16" ht="19.5" thickBot="1" x14ac:dyDescent="0.35">
      <c r="D337" s="64" t="s">
        <v>533</v>
      </c>
      <c r="E337" s="65" t="s">
        <v>492</v>
      </c>
      <c r="F337" s="63" t="s">
        <v>289</v>
      </c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4:16" ht="19.5" thickBot="1" x14ac:dyDescent="0.35">
      <c r="D338" s="20" t="s">
        <v>412</v>
      </c>
      <c r="E338" s="24" t="s">
        <v>335</v>
      </c>
      <c r="F338" s="38" t="s">
        <v>290</v>
      </c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4:16" ht="19.5" thickBot="1" x14ac:dyDescent="0.35">
      <c r="D339" s="33" t="s">
        <v>208</v>
      </c>
      <c r="E339" s="24" t="s">
        <v>117</v>
      </c>
      <c r="F339" s="26" t="s">
        <v>290</v>
      </c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4:16" ht="19.5" thickBot="1" x14ac:dyDescent="0.35">
      <c r="D340" s="20" t="s">
        <v>413</v>
      </c>
      <c r="E340" s="24" t="s">
        <v>335</v>
      </c>
      <c r="F340" s="38" t="s">
        <v>291</v>
      </c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4:16" ht="19.5" thickBot="1" x14ac:dyDescent="0.35">
      <c r="D341" s="33" t="s">
        <v>274</v>
      </c>
      <c r="E341" s="24" t="s">
        <v>117</v>
      </c>
      <c r="F341" s="26" t="s">
        <v>291</v>
      </c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4:16" ht="19.5" thickBot="1" x14ac:dyDescent="0.35">
      <c r="D342" s="64" t="s">
        <v>534</v>
      </c>
      <c r="E342" s="65" t="s">
        <v>463</v>
      </c>
      <c r="F342" s="65" t="s">
        <v>291</v>
      </c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4:16" ht="19.5" thickBot="1" x14ac:dyDescent="0.35">
      <c r="D343" s="20" t="s">
        <v>414</v>
      </c>
      <c r="E343" s="24" t="s">
        <v>335</v>
      </c>
      <c r="F343" s="38" t="s">
        <v>292</v>
      </c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4:16" ht="19.5" thickBot="1" x14ac:dyDescent="0.35">
      <c r="D344" s="33" t="s">
        <v>237</v>
      </c>
      <c r="E344" s="24" t="s">
        <v>117</v>
      </c>
      <c r="F344" s="26" t="s">
        <v>292</v>
      </c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4:16" ht="19.5" thickBot="1" x14ac:dyDescent="0.35">
      <c r="D345" s="20" t="s">
        <v>535</v>
      </c>
      <c r="E345" s="26" t="s">
        <v>492</v>
      </c>
      <c r="F345" s="65" t="s">
        <v>292</v>
      </c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4:16" ht="19.5" thickBot="1" x14ac:dyDescent="0.35">
      <c r="D346" s="20" t="s">
        <v>415</v>
      </c>
      <c r="E346" s="24" t="s">
        <v>335</v>
      </c>
      <c r="F346" s="38" t="s">
        <v>293</v>
      </c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4:16" ht="19.5" thickBot="1" x14ac:dyDescent="0.35">
      <c r="D347" s="33" t="s">
        <v>224</v>
      </c>
      <c r="E347" s="24" t="s">
        <v>117</v>
      </c>
      <c r="F347" s="26" t="s">
        <v>293</v>
      </c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4:16" ht="19.5" thickBot="1" x14ac:dyDescent="0.35">
      <c r="D348" s="64" t="s">
        <v>536</v>
      </c>
      <c r="E348" s="65" t="s">
        <v>515</v>
      </c>
      <c r="F348" s="65" t="s">
        <v>293</v>
      </c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4:16" ht="19.5" thickBot="1" x14ac:dyDescent="0.35">
      <c r="D349" s="20" t="s">
        <v>416</v>
      </c>
      <c r="E349" s="24" t="s">
        <v>335</v>
      </c>
      <c r="F349" s="38" t="s">
        <v>294</v>
      </c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4:16" ht="19.5" thickBot="1" x14ac:dyDescent="0.35">
      <c r="D350" s="33" t="s">
        <v>277</v>
      </c>
      <c r="E350" s="24" t="s">
        <v>117</v>
      </c>
      <c r="F350" s="26" t="s">
        <v>294</v>
      </c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4:16" ht="19.5" thickBot="1" x14ac:dyDescent="0.35">
      <c r="D351" s="66" t="s">
        <v>538</v>
      </c>
      <c r="E351" s="67" t="s">
        <v>467</v>
      </c>
      <c r="F351" s="65" t="s">
        <v>294</v>
      </c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4:16" ht="19.5" thickBot="1" x14ac:dyDescent="0.35">
      <c r="D352" s="20" t="s">
        <v>417</v>
      </c>
      <c r="E352" s="24" t="s">
        <v>335</v>
      </c>
      <c r="F352" s="38" t="s">
        <v>295</v>
      </c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4:16" ht="19.5" thickBot="1" x14ac:dyDescent="0.35">
      <c r="D353" s="33" t="s">
        <v>248</v>
      </c>
      <c r="E353" s="24" t="s">
        <v>117</v>
      </c>
      <c r="F353" s="26" t="s">
        <v>295</v>
      </c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4:16" ht="19.5" thickBot="1" x14ac:dyDescent="0.35">
      <c r="D354" s="20" t="s">
        <v>539</v>
      </c>
      <c r="E354" s="26" t="s">
        <v>18</v>
      </c>
      <c r="F354" s="65" t="s">
        <v>295</v>
      </c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4:16" ht="19.5" thickBot="1" x14ac:dyDescent="0.35">
      <c r="D355" s="20" t="s">
        <v>418</v>
      </c>
      <c r="E355" s="24" t="s">
        <v>335</v>
      </c>
      <c r="F355" s="38" t="s">
        <v>296</v>
      </c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4:16" ht="19.5" thickBot="1" x14ac:dyDescent="0.35">
      <c r="D356" s="33" t="s">
        <v>185</v>
      </c>
      <c r="E356" s="24" t="s">
        <v>117</v>
      </c>
      <c r="F356" s="26" t="s">
        <v>296</v>
      </c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4:16" ht="19.5" thickBot="1" x14ac:dyDescent="0.35">
      <c r="D357" s="64" t="s">
        <v>540</v>
      </c>
      <c r="E357" s="65" t="s">
        <v>11</v>
      </c>
      <c r="F357" s="65" t="s">
        <v>296</v>
      </c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4:16" ht="19.5" thickBot="1" x14ac:dyDescent="0.35">
      <c r="D358" s="20" t="s">
        <v>419</v>
      </c>
      <c r="E358" s="24" t="s">
        <v>335</v>
      </c>
      <c r="F358" s="38" t="s">
        <v>297</v>
      </c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4:16" ht="19.5" thickBot="1" x14ac:dyDescent="0.35">
      <c r="D359" s="33" t="s">
        <v>251</v>
      </c>
      <c r="E359" s="24" t="s">
        <v>117</v>
      </c>
      <c r="F359" s="26" t="s">
        <v>297</v>
      </c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4:16" ht="19.5" thickBot="1" x14ac:dyDescent="0.35">
      <c r="D360" s="20" t="s">
        <v>542</v>
      </c>
      <c r="E360" s="26" t="s">
        <v>26</v>
      </c>
      <c r="F360" s="65" t="s">
        <v>297</v>
      </c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4:16" ht="19.5" thickBot="1" x14ac:dyDescent="0.35">
      <c r="D361" s="20" t="s">
        <v>420</v>
      </c>
      <c r="E361" s="24" t="s">
        <v>335</v>
      </c>
      <c r="F361" s="38" t="s">
        <v>298</v>
      </c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4:16" ht="19.5" thickBot="1" x14ac:dyDescent="0.35">
      <c r="D362" s="33" t="s">
        <v>270</v>
      </c>
      <c r="E362" s="24" t="s">
        <v>117</v>
      </c>
      <c r="F362" s="26" t="s">
        <v>298</v>
      </c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4:16" ht="19.5" thickBot="1" x14ac:dyDescent="0.35">
      <c r="D363" s="64" t="s">
        <v>543</v>
      </c>
      <c r="E363" s="65" t="s">
        <v>7</v>
      </c>
      <c r="F363" s="65" t="s">
        <v>298</v>
      </c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4:16" ht="19.5" thickBot="1" x14ac:dyDescent="0.35">
      <c r="D364" s="20" t="s">
        <v>421</v>
      </c>
      <c r="E364" s="24" t="s">
        <v>335</v>
      </c>
      <c r="F364" s="38" t="s">
        <v>299</v>
      </c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4:16" ht="19.5" thickBot="1" x14ac:dyDescent="0.35">
      <c r="D365" s="33" t="s">
        <v>233</v>
      </c>
      <c r="E365" s="24" t="s">
        <v>117</v>
      </c>
      <c r="F365" s="26" t="s">
        <v>299</v>
      </c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4:16" ht="19.5" thickBot="1" x14ac:dyDescent="0.35">
      <c r="D366" s="20" t="s">
        <v>422</v>
      </c>
      <c r="E366" s="24" t="s">
        <v>335</v>
      </c>
      <c r="F366" s="38" t="s">
        <v>300</v>
      </c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4:16" ht="19.5" thickBot="1" x14ac:dyDescent="0.35">
      <c r="D367" s="33" t="s">
        <v>239</v>
      </c>
      <c r="E367" s="24" t="s">
        <v>117</v>
      </c>
      <c r="F367" s="26" t="s">
        <v>300</v>
      </c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4:16" ht="19.5" thickBot="1" x14ac:dyDescent="0.35">
      <c r="D368" s="20" t="s">
        <v>423</v>
      </c>
      <c r="E368" s="24" t="s">
        <v>335</v>
      </c>
      <c r="F368" s="38" t="s">
        <v>301</v>
      </c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4:16" ht="19.5" thickBot="1" x14ac:dyDescent="0.35">
      <c r="D369" s="33" t="s">
        <v>221</v>
      </c>
      <c r="E369" s="24" t="s">
        <v>117</v>
      </c>
      <c r="F369" s="26" t="s">
        <v>301</v>
      </c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4:16" ht="19.5" thickBot="1" x14ac:dyDescent="0.35">
      <c r="D370" s="20" t="s">
        <v>545</v>
      </c>
      <c r="E370" s="26" t="s">
        <v>512</v>
      </c>
      <c r="F370" s="65" t="s">
        <v>301</v>
      </c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4:16" ht="19.5" thickBot="1" x14ac:dyDescent="0.35">
      <c r="D371" s="20" t="s">
        <v>424</v>
      </c>
      <c r="E371" s="24" t="s">
        <v>335</v>
      </c>
      <c r="F371" s="38" t="s">
        <v>302</v>
      </c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4:16" ht="19.5" thickBot="1" x14ac:dyDescent="0.35">
      <c r="D372" s="33" t="s">
        <v>276</v>
      </c>
      <c r="E372" s="24" t="s">
        <v>117</v>
      </c>
      <c r="F372" s="26" t="s">
        <v>302</v>
      </c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4:16" ht="19.5" thickBot="1" x14ac:dyDescent="0.35">
      <c r="D373" s="20" t="s">
        <v>425</v>
      </c>
      <c r="E373" s="24" t="s">
        <v>335</v>
      </c>
      <c r="F373" s="38" t="s">
        <v>303</v>
      </c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4:16" ht="19.5" thickBot="1" x14ac:dyDescent="0.35">
      <c r="D374" s="33" t="s">
        <v>261</v>
      </c>
      <c r="E374" s="24" t="s">
        <v>117</v>
      </c>
      <c r="F374" s="26" t="s">
        <v>303</v>
      </c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4:16" ht="19.5" thickBot="1" x14ac:dyDescent="0.35">
      <c r="D375" s="64" t="s">
        <v>544</v>
      </c>
      <c r="E375" s="65" t="s">
        <v>492</v>
      </c>
      <c r="F375" s="65" t="s">
        <v>303</v>
      </c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4:16" ht="19.5" thickBot="1" x14ac:dyDescent="0.35">
      <c r="D376" s="20" t="s">
        <v>426</v>
      </c>
      <c r="E376" s="24" t="s">
        <v>335</v>
      </c>
      <c r="F376" s="38" t="s">
        <v>304</v>
      </c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4:16" ht="19.5" thickBot="1" x14ac:dyDescent="0.35">
      <c r="D377" s="33" t="s">
        <v>271</v>
      </c>
      <c r="E377" s="24" t="s">
        <v>117</v>
      </c>
      <c r="F377" s="26" t="s">
        <v>304</v>
      </c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4:16" ht="19.5" thickBot="1" x14ac:dyDescent="0.35">
      <c r="D378" s="64" t="s">
        <v>546</v>
      </c>
      <c r="E378" s="65" t="s">
        <v>515</v>
      </c>
      <c r="F378" s="65" t="s">
        <v>304</v>
      </c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4:16" ht="19.5" thickBot="1" x14ac:dyDescent="0.35">
      <c r="D379" s="20" t="s">
        <v>427</v>
      </c>
      <c r="E379" s="24" t="s">
        <v>335</v>
      </c>
      <c r="F379" s="38" t="s">
        <v>305</v>
      </c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4:16" ht="19.5" thickBot="1" x14ac:dyDescent="0.35">
      <c r="D380" s="33" t="s">
        <v>238</v>
      </c>
      <c r="E380" s="24" t="s">
        <v>117</v>
      </c>
      <c r="F380" s="26" t="s">
        <v>305</v>
      </c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4:16" ht="19.5" thickBot="1" x14ac:dyDescent="0.35">
      <c r="D381" s="20" t="s">
        <v>549</v>
      </c>
      <c r="E381" s="26" t="s">
        <v>477</v>
      </c>
      <c r="F381" s="65" t="s">
        <v>305</v>
      </c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4:16" ht="19.5" thickBot="1" x14ac:dyDescent="0.35">
      <c r="D382" s="20" t="s">
        <v>428</v>
      </c>
      <c r="E382" s="24" t="s">
        <v>335</v>
      </c>
      <c r="F382" s="38" t="s">
        <v>306</v>
      </c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4:16" ht="19.5" thickBot="1" x14ac:dyDescent="0.35">
      <c r="D383" s="33" t="s">
        <v>255</v>
      </c>
      <c r="E383" s="24" t="s">
        <v>117</v>
      </c>
      <c r="F383" s="26" t="s">
        <v>306</v>
      </c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4:16" ht="19.5" thickBot="1" x14ac:dyDescent="0.35">
      <c r="D384" s="66" t="s">
        <v>550</v>
      </c>
      <c r="E384" s="67" t="s">
        <v>492</v>
      </c>
      <c r="F384" s="65" t="s">
        <v>306</v>
      </c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4:16" ht="19.5" thickBot="1" x14ac:dyDescent="0.35">
      <c r="D385" s="20" t="s">
        <v>429</v>
      </c>
      <c r="E385" s="24" t="s">
        <v>335</v>
      </c>
      <c r="F385" s="38" t="s">
        <v>307</v>
      </c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4:16" ht="19.5" thickBot="1" x14ac:dyDescent="0.35">
      <c r="D386" s="33" t="s">
        <v>242</v>
      </c>
      <c r="E386" s="24" t="s">
        <v>117</v>
      </c>
      <c r="F386" s="26" t="s">
        <v>307</v>
      </c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4:16" ht="19.5" thickBot="1" x14ac:dyDescent="0.35">
      <c r="D387" s="20" t="s">
        <v>551</v>
      </c>
      <c r="E387" s="26" t="s">
        <v>11</v>
      </c>
      <c r="F387" s="65" t="s">
        <v>307</v>
      </c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4:16" ht="19.5" thickBot="1" x14ac:dyDescent="0.35">
      <c r="D388" s="20" t="s">
        <v>430</v>
      </c>
      <c r="E388" s="24" t="s">
        <v>335</v>
      </c>
      <c r="F388" s="38" t="s">
        <v>308</v>
      </c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4:16" ht="19.5" thickBot="1" x14ac:dyDescent="0.35">
      <c r="D389" s="33" t="s">
        <v>272</v>
      </c>
      <c r="E389" s="24" t="s">
        <v>117</v>
      </c>
      <c r="F389" s="26" t="s">
        <v>308</v>
      </c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4:16" ht="19.5" thickBot="1" x14ac:dyDescent="0.35">
      <c r="D390" s="20" t="s">
        <v>552</v>
      </c>
      <c r="E390" s="26" t="s">
        <v>26</v>
      </c>
      <c r="F390" s="65" t="s">
        <v>308</v>
      </c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4:16" ht="19.5" thickBot="1" x14ac:dyDescent="0.35">
      <c r="D391" s="20" t="s">
        <v>431</v>
      </c>
      <c r="E391" s="24" t="s">
        <v>335</v>
      </c>
      <c r="F391" s="38" t="s">
        <v>309</v>
      </c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4:16" ht="19.5" thickBot="1" x14ac:dyDescent="0.35">
      <c r="D392" s="33" t="s">
        <v>269</v>
      </c>
      <c r="E392" s="24" t="s">
        <v>117</v>
      </c>
      <c r="F392" s="26" t="s">
        <v>309</v>
      </c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4:16" ht="19.5" thickBot="1" x14ac:dyDescent="0.35">
      <c r="D393" s="20" t="s">
        <v>432</v>
      </c>
      <c r="E393" s="24" t="s">
        <v>335</v>
      </c>
      <c r="F393" s="38" t="s">
        <v>310</v>
      </c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4:16" ht="19.5" thickBot="1" x14ac:dyDescent="0.35">
      <c r="D394" s="33" t="s">
        <v>252</v>
      </c>
      <c r="E394" s="24" t="s">
        <v>117</v>
      </c>
      <c r="F394" s="26" t="s">
        <v>310</v>
      </c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4:16" ht="19.5" thickBot="1" x14ac:dyDescent="0.35">
      <c r="D395" s="20" t="s">
        <v>553</v>
      </c>
      <c r="E395" s="26" t="s">
        <v>11</v>
      </c>
      <c r="F395" s="65" t="s">
        <v>310</v>
      </c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4:16" ht="19.5" thickBot="1" x14ac:dyDescent="0.35">
      <c r="D396" s="20" t="s">
        <v>433</v>
      </c>
      <c r="E396" s="24" t="s">
        <v>335</v>
      </c>
      <c r="F396" s="38" t="s">
        <v>311</v>
      </c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4:16" ht="19.5" thickBot="1" x14ac:dyDescent="0.35">
      <c r="D397" s="33" t="s">
        <v>273</v>
      </c>
      <c r="E397" s="24" t="s">
        <v>117</v>
      </c>
      <c r="F397" s="26" t="s">
        <v>311</v>
      </c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4:16" ht="19.5" thickBot="1" x14ac:dyDescent="0.35">
      <c r="D398" s="64" t="s">
        <v>537</v>
      </c>
      <c r="E398" s="65"/>
      <c r="F398" s="65" t="s">
        <v>311</v>
      </c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4:16" ht="19.5" thickBot="1" x14ac:dyDescent="0.35">
      <c r="D399" s="20" t="s">
        <v>434</v>
      </c>
      <c r="E399" s="24" t="s">
        <v>335</v>
      </c>
      <c r="F399" s="38" t="s">
        <v>312</v>
      </c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4:16" ht="19.5" thickBot="1" x14ac:dyDescent="0.35">
      <c r="D400" s="33" t="s">
        <v>177</v>
      </c>
      <c r="E400" s="24" t="s">
        <v>117</v>
      </c>
      <c r="F400" s="26" t="s">
        <v>312</v>
      </c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4:16" ht="19.5" thickBot="1" x14ac:dyDescent="0.35">
      <c r="D401" s="64" t="s">
        <v>554</v>
      </c>
      <c r="E401" s="65" t="s">
        <v>477</v>
      </c>
      <c r="F401" s="65" t="s">
        <v>312</v>
      </c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4:16" ht="19.5" thickBot="1" x14ac:dyDescent="0.35">
      <c r="D402" s="20" t="s">
        <v>435</v>
      </c>
      <c r="E402" s="24" t="s">
        <v>335</v>
      </c>
      <c r="F402" s="38" t="s">
        <v>313</v>
      </c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4:16" ht="19.5" thickBot="1" x14ac:dyDescent="0.35">
      <c r="D403" s="33" t="s">
        <v>218</v>
      </c>
      <c r="E403" s="24" t="s">
        <v>117</v>
      </c>
      <c r="F403" s="26" t="s">
        <v>313</v>
      </c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4:16" ht="19.5" thickBot="1" x14ac:dyDescent="0.35">
      <c r="D404" s="64" t="s">
        <v>555</v>
      </c>
      <c r="E404" s="65" t="s">
        <v>5</v>
      </c>
      <c r="F404" s="65" t="s">
        <v>313</v>
      </c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4:16" ht="19.5" thickBot="1" x14ac:dyDescent="0.35">
      <c r="D405" s="20" t="s">
        <v>436</v>
      </c>
      <c r="E405" s="24" t="s">
        <v>335</v>
      </c>
      <c r="F405" s="38" t="s">
        <v>314</v>
      </c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4:16" ht="19.5" thickBot="1" x14ac:dyDescent="0.35">
      <c r="D406" s="33" t="s">
        <v>259</v>
      </c>
      <c r="E406" s="24" t="s">
        <v>117</v>
      </c>
      <c r="F406" s="26" t="s">
        <v>314</v>
      </c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4:16" ht="19.5" thickBot="1" x14ac:dyDescent="0.35">
      <c r="D407" s="20" t="s">
        <v>556</v>
      </c>
      <c r="E407" s="26" t="s">
        <v>18</v>
      </c>
      <c r="F407" s="65" t="s">
        <v>314</v>
      </c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4:16" ht="19.5" thickBot="1" x14ac:dyDescent="0.35">
      <c r="D408" s="20" t="s">
        <v>437</v>
      </c>
      <c r="E408" s="24" t="s">
        <v>335</v>
      </c>
      <c r="F408" s="38" t="s">
        <v>315</v>
      </c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4:16" ht="19.5" thickBot="1" x14ac:dyDescent="0.35">
      <c r="D409" s="33" t="s">
        <v>243</v>
      </c>
      <c r="E409" s="24" t="s">
        <v>117</v>
      </c>
      <c r="F409" s="26" t="s">
        <v>315</v>
      </c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4:16" ht="19.5" thickBot="1" x14ac:dyDescent="0.35">
      <c r="D410" s="64" t="s">
        <v>557</v>
      </c>
      <c r="E410" s="65" t="s">
        <v>515</v>
      </c>
      <c r="F410" s="65" t="s">
        <v>315</v>
      </c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4:16" ht="19.5" thickBot="1" x14ac:dyDescent="0.35">
      <c r="D411" s="20" t="s">
        <v>438</v>
      </c>
      <c r="E411" s="24" t="s">
        <v>335</v>
      </c>
      <c r="F411" s="38" t="s">
        <v>316</v>
      </c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4:16" ht="19.5" thickBot="1" x14ac:dyDescent="0.35">
      <c r="D412" s="33" t="s">
        <v>194</v>
      </c>
      <c r="E412" s="24" t="s">
        <v>117</v>
      </c>
      <c r="F412" s="26" t="s">
        <v>316</v>
      </c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4:16" ht="19.5" thickBot="1" x14ac:dyDescent="0.35">
      <c r="D413" s="64" t="s">
        <v>558</v>
      </c>
      <c r="E413" s="65"/>
      <c r="F413" s="65" t="s">
        <v>316</v>
      </c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4:16" ht="19.5" thickBot="1" x14ac:dyDescent="0.35">
      <c r="D414" s="20" t="s">
        <v>439</v>
      </c>
      <c r="E414" s="24" t="s">
        <v>335</v>
      </c>
      <c r="F414" s="38" t="s">
        <v>317</v>
      </c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4:16" ht="19.5" thickBot="1" x14ac:dyDescent="0.35">
      <c r="D415" s="33" t="s">
        <v>232</v>
      </c>
      <c r="E415" s="24" t="s">
        <v>117</v>
      </c>
      <c r="F415" s="26" t="s">
        <v>317</v>
      </c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4:16" ht="19.5" thickBot="1" x14ac:dyDescent="0.35">
      <c r="D416" s="20" t="s">
        <v>559</v>
      </c>
      <c r="E416" s="26" t="s">
        <v>11</v>
      </c>
      <c r="F416" s="65" t="s">
        <v>317</v>
      </c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4:16" ht="19.5" thickBot="1" x14ac:dyDescent="0.35">
      <c r="D417" s="20" t="s">
        <v>440</v>
      </c>
      <c r="E417" s="24" t="s">
        <v>335</v>
      </c>
      <c r="F417" s="38" t="s">
        <v>318</v>
      </c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4:16" ht="19.5" thickBot="1" x14ac:dyDescent="0.35">
      <c r="D418" s="33" t="s">
        <v>235</v>
      </c>
      <c r="E418" s="24" t="s">
        <v>117</v>
      </c>
      <c r="F418" s="26" t="s">
        <v>318</v>
      </c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4:16" ht="19.5" thickBot="1" x14ac:dyDescent="0.35">
      <c r="D419" s="64" t="s">
        <v>560</v>
      </c>
      <c r="E419" s="65" t="s">
        <v>492</v>
      </c>
      <c r="F419" s="65" t="s">
        <v>318</v>
      </c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4:16" ht="19.5" thickBot="1" x14ac:dyDescent="0.35">
      <c r="D420" s="20" t="s">
        <v>441</v>
      </c>
      <c r="E420" s="24" t="s">
        <v>335</v>
      </c>
      <c r="F420" s="38" t="s">
        <v>319</v>
      </c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4:16" ht="19.5" thickBot="1" x14ac:dyDescent="0.35">
      <c r="D421" s="33" t="s">
        <v>256</v>
      </c>
      <c r="E421" s="24" t="s">
        <v>117</v>
      </c>
      <c r="F421" s="26" t="s">
        <v>319</v>
      </c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4:16" ht="19.5" thickBot="1" x14ac:dyDescent="0.35">
      <c r="D422" s="64" t="s">
        <v>561</v>
      </c>
      <c r="E422" s="65" t="s">
        <v>515</v>
      </c>
      <c r="F422" s="65" t="s">
        <v>319</v>
      </c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4:16" ht="19.5" thickBot="1" x14ac:dyDescent="0.35">
      <c r="D423" s="20" t="s">
        <v>442</v>
      </c>
      <c r="E423" s="24" t="s">
        <v>335</v>
      </c>
      <c r="F423" s="38" t="s">
        <v>443</v>
      </c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4:16" ht="19.5" thickBot="1" x14ac:dyDescent="0.35">
      <c r="D424" s="20" t="s">
        <v>562</v>
      </c>
      <c r="E424" s="26" t="s">
        <v>26</v>
      </c>
      <c r="F424" s="65" t="s">
        <v>443</v>
      </c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4:16" ht="19.5" thickBot="1" x14ac:dyDescent="0.35">
      <c r="D425" s="20" t="s">
        <v>445</v>
      </c>
      <c r="E425" s="24" t="s">
        <v>335</v>
      </c>
      <c r="F425" s="26" t="s">
        <v>444</v>
      </c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4:16" ht="19.5" thickBot="1" x14ac:dyDescent="0.35">
      <c r="D426" s="64" t="s">
        <v>563</v>
      </c>
      <c r="E426" s="65" t="s">
        <v>477</v>
      </c>
      <c r="F426" s="65" t="s">
        <v>444</v>
      </c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4:16" ht="19.5" thickBot="1" x14ac:dyDescent="0.35">
      <c r="D427" s="20" t="s">
        <v>447</v>
      </c>
      <c r="E427" s="24" t="s">
        <v>335</v>
      </c>
      <c r="F427" s="26" t="s">
        <v>446</v>
      </c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4:16" ht="19.5" thickBot="1" x14ac:dyDescent="0.35">
      <c r="D428" s="20" t="s">
        <v>564</v>
      </c>
      <c r="E428" s="26" t="s">
        <v>5</v>
      </c>
      <c r="F428" s="65" t="s">
        <v>446</v>
      </c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4:16" ht="19.5" thickBot="1" x14ac:dyDescent="0.35">
      <c r="D429" s="20" t="s">
        <v>449</v>
      </c>
      <c r="E429" s="24" t="s">
        <v>335</v>
      </c>
      <c r="F429" s="26" t="s">
        <v>448</v>
      </c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4:16" ht="19.5" thickBot="1" x14ac:dyDescent="0.35">
      <c r="D430" s="64" t="s">
        <v>565</v>
      </c>
      <c r="E430" s="65" t="s">
        <v>5</v>
      </c>
      <c r="F430" s="65" t="s">
        <v>448</v>
      </c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4:16" ht="19.5" thickBot="1" x14ac:dyDescent="0.35">
      <c r="D431" s="20" t="s">
        <v>1462</v>
      </c>
      <c r="E431" s="24" t="s">
        <v>335</v>
      </c>
      <c r="F431" s="26" t="s">
        <v>450</v>
      </c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4:16" ht="19.5" thickBot="1" x14ac:dyDescent="0.35">
      <c r="D432" s="64" t="s">
        <v>566</v>
      </c>
      <c r="E432" s="65" t="s">
        <v>5</v>
      </c>
      <c r="F432" s="65" t="s">
        <v>450</v>
      </c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4:16" ht="19.5" thickBot="1" x14ac:dyDescent="0.35">
      <c r="D433" s="20" t="s">
        <v>1463</v>
      </c>
      <c r="E433" s="24" t="s">
        <v>335</v>
      </c>
      <c r="F433" s="26" t="s">
        <v>568</v>
      </c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4:16" ht="19.5" thickBot="1" x14ac:dyDescent="0.35">
      <c r="D434" s="64" t="s">
        <v>567</v>
      </c>
      <c r="E434" s="65" t="s">
        <v>480</v>
      </c>
      <c r="F434" s="65" t="s">
        <v>568</v>
      </c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4:16" ht="19.5" thickBot="1" x14ac:dyDescent="0.35">
      <c r="D435" s="64" t="s">
        <v>569</v>
      </c>
      <c r="E435" s="65" t="s">
        <v>455</v>
      </c>
      <c r="F435" s="65" t="s">
        <v>570</v>
      </c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4:16" ht="19.5" thickBot="1" x14ac:dyDescent="0.35">
      <c r="D436" s="20" t="s">
        <v>571</v>
      </c>
      <c r="E436" s="26" t="s">
        <v>16</v>
      </c>
      <c r="F436" s="65" t="s">
        <v>572</v>
      </c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4:16" ht="19.5" thickBot="1" x14ac:dyDescent="0.35">
      <c r="D437" s="20" t="s">
        <v>573</v>
      </c>
      <c r="E437" s="26" t="s">
        <v>26</v>
      </c>
      <c r="F437" s="65" t="s">
        <v>574</v>
      </c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4:16" ht="19.5" thickBot="1" x14ac:dyDescent="0.35">
      <c r="D438" s="20" t="s">
        <v>575</v>
      </c>
      <c r="E438" s="26" t="s">
        <v>576</v>
      </c>
      <c r="F438" s="65" t="s">
        <v>577</v>
      </c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4:16" ht="19.5" thickBot="1" x14ac:dyDescent="0.35">
      <c r="D439" s="64" t="s">
        <v>578</v>
      </c>
      <c r="E439" s="65" t="s">
        <v>492</v>
      </c>
      <c r="F439" s="65" t="s">
        <v>579</v>
      </c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4:16" ht="19.5" thickBot="1" x14ac:dyDescent="0.35">
      <c r="D440" s="64" t="s">
        <v>580</v>
      </c>
      <c r="E440" s="65" t="s">
        <v>31</v>
      </c>
      <c r="F440" s="65" t="s">
        <v>581</v>
      </c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4:16" ht="19.5" thickBot="1" x14ac:dyDescent="0.35">
      <c r="D441" s="64" t="s">
        <v>582</v>
      </c>
      <c r="E441" s="65"/>
      <c r="F441" s="65" t="s">
        <v>583</v>
      </c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4:16" ht="19.5" thickBot="1" x14ac:dyDescent="0.35">
      <c r="D442" s="64" t="s">
        <v>584</v>
      </c>
      <c r="E442" s="65" t="s">
        <v>492</v>
      </c>
      <c r="F442" s="65" t="s">
        <v>585</v>
      </c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4:16" ht="19.5" thickBot="1" x14ac:dyDescent="0.35">
      <c r="D443" s="33" t="s">
        <v>1457</v>
      </c>
      <c r="E443" s="24" t="s">
        <v>320</v>
      </c>
      <c r="F443" s="26" t="s">
        <v>451</v>
      </c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4:16" ht="19.5" thickBot="1" x14ac:dyDescent="0.35">
      <c r="D444" s="20" t="s">
        <v>586</v>
      </c>
      <c r="E444" s="26" t="s">
        <v>587</v>
      </c>
      <c r="F444" s="65" t="s">
        <v>451</v>
      </c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4:16" ht="19.5" thickBot="1" x14ac:dyDescent="0.35">
      <c r="D445" s="64" t="s">
        <v>588</v>
      </c>
      <c r="E445" s="65" t="s">
        <v>31</v>
      </c>
      <c r="F445" s="65" t="s">
        <v>589</v>
      </c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4:16" ht="19.5" thickBot="1" x14ac:dyDescent="0.35">
      <c r="D446" s="64" t="s">
        <v>590</v>
      </c>
      <c r="E446" s="65" t="s">
        <v>463</v>
      </c>
      <c r="F446" s="65" t="s">
        <v>591</v>
      </c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4:16" ht="19.5" thickBot="1" x14ac:dyDescent="0.35">
      <c r="D447" s="64" t="s">
        <v>592</v>
      </c>
      <c r="E447" s="65" t="s">
        <v>5</v>
      </c>
      <c r="F447" s="65" t="s">
        <v>593</v>
      </c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4:16" ht="19.5" thickBot="1" x14ac:dyDescent="0.35">
      <c r="D448" s="64" t="s">
        <v>594</v>
      </c>
      <c r="E448" s="65" t="s">
        <v>467</v>
      </c>
      <c r="F448" s="65" t="s">
        <v>595</v>
      </c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4:16" ht="19.5" thickBot="1" x14ac:dyDescent="0.35">
      <c r="D449" s="64" t="s">
        <v>596</v>
      </c>
      <c r="E449" s="65" t="s">
        <v>492</v>
      </c>
      <c r="F449" s="65" t="s">
        <v>597</v>
      </c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4:16" ht="19.5" thickBot="1" x14ac:dyDescent="0.35">
      <c r="D450" s="64" t="s">
        <v>598</v>
      </c>
      <c r="E450" s="65" t="s">
        <v>11</v>
      </c>
      <c r="F450" s="65" t="s">
        <v>599</v>
      </c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4:16" ht="19.5" thickBot="1" x14ac:dyDescent="0.35">
      <c r="D451" s="64" t="s">
        <v>600</v>
      </c>
      <c r="E451" s="65" t="s">
        <v>480</v>
      </c>
      <c r="F451" s="65" t="s">
        <v>601</v>
      </c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4:16" ht="19.5" thickBot="1" x14ac:dyDescent="0.35">
      <c r="D452" s="64" t="s">
        <v>602</v>
      </c>
      <c r="E452" s="65"/>
      <c r="F452" s="65" t="s">
        <v>603</v>
      </c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4:16" ht="19.5" thickBot="1" x14ac:dyDescent="0.35">
      <c r="D453" s="64" t="s">
        <v>604</v>
      </c>
      <c r="E453" s="65" t="s">
        <v>5</v>
      </c>
      <c r="F453" s="65" t="s">
        <v>605</v>
      </c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4:16" ht="19.5" thickBot="1" x14ac:dyDescent="0.35">
      <c r="D454" s="64" t="s">
        <v>606</v>
      </c>
      <c r="E454" s="65"/>
      <c r="F454" s="65" t="s">
        <v>607</v>
      </c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4:16" ht="19.5" thickBot="1" x14ac:dyDescent="0.35">
      <c r="D455" s="64" t="s">
        <v>608</v>
      </c>
      <c r="E455" s="65" t="s">
        <v>515</v>
      </c>
      <c r="F455" s="65" t="s">
        <v>609</v>
      </c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4:16" ht="19.5" thickBot="1" x14ac:dyDescent="0.35">
      <c r="D456" s="64" t="s">
        <v>610</v>
      </c>
      <c r="E456" s="65" t="s">
        <v>16</v>
      </c>
      <c r="F456" s="65" t="s">
        <v>611</v>
      </c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4:16" ht="19.5" thickBot="1" x14ac:dyDescent="0.35">
      <c r="D457" s="64" t="s">
        <v>612</v>
      </c>
      <c r="E457" s="65" t="s">
        <v>480</v>
      </c>
      <c r="F457" s="65" t="s">
        <v>613</v>
      </c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4:16" ht="19.5" thickBot="1" x14ac:dyDescent="0.35">
      <c r="D458" s="20" t="s">
        <v>614</v>
      </c>
      <c r="E458" s="26" t="s">
        <v>492</v>
      </c>
      <c r="F458" s="65" t="s">
        <v>615</v>
      </c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4:16" ht="19.5" thickBot="1" x14ac:dyDescent="0.35">
      <c r="D459" s="64" t="s">
        <v>616</v>
      </c>
      <c r="E459" s="65"/>
      <c r="F459" s="65" t="s">
        <v>617</v>
      </c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4:16" ht="19.5" thickBot="1" x14ac:dyDescent="0.35">
      <c r="D460" s="20" t="s">
        <v>618</v>
      </c>
      <c r="E460" s="26" t="s">
        <v>18</v>
      </c>
      <c r="F460" s="65" t="s">
        <v>619</v>
      </c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4:16" ht="19.5" thickBot="1" x14ac:dyDescent="0.35">
      <c r="D461" s="64" t="s">
        <v>620</v>
      </c>
      <c r="E461" s="65" t="s">
        <v>492</v>
      </c>
      <c r="F461" s="65" t="s">
        <v>621</v>
      </c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4:16" ht="19.5" thickBot="1" x14ac:dyDescent="0.35">
      <c r="D462" s="64" t="s">
        <v>622</v>
      </c>
      <c r="E462" s="65" t="s">
        <v>455</v>
      </c>
      <c r="F462" s="65" t="s">
        <v>623</v>
      </c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4:16" ht="19.5" thickBot="1" x14ac:dyDescent="0.35">
      <c r="D463" s="20" t="s">
        <v>624</v>
      </c>
      <c r="E463" s="26" t="s">
        <v>18</v>
      </c>
      <c r="F463" s="65" t="s">
        <v>625</v>
      </c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4:16" ht="19.5" thickBot="1" x14ac:dyDescent="0.35">
      <c r="D464" s="64" t="s">
        <v>626</v>
      </c>
      <c r="E464" s="65" t="s">
        <v>5</v>
      </c>
      <c r="F464" s="65" t="s">
        <v>627</v>
      </c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4:16" ht="19.5" thickBot="1" x14ac:dyDescent="0.35">
      <c r="D465" s="64" t="s">
        <v>628</v>
      </c>
      <c r="E465" s="65" t="s">
        <v>492</v>
      </c>
      <c r="F465" s="65" t="s">
        <v>629</v>
      </c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4:16" ht="19.5" thickBot="1" x14ac:dyDescent="0.35">
      <c r="D466" s="20" t="s">
        <v>630</v>
      </c>
      <c r="E466" s="26"/>
      <c r="F466" s="65" t="s">
        <v>631</v>
      </c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4:16" ht="19.5" thickBot="1" x14ac:dyDescent="0.35">
      <c r="D467" s="64" t="s">
        <v>632</v>
      </c>
      <c r="E467" s="65" t="s">
        <v>16</v>
      </c>
      <c r="F467" s="65" t="s">
        <v>633</v>
      </c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4:16" ht="19.5" thickBot="1" x14ac:dyDescent="0.35">
      <c r="D468" s="64" t="s">
        <v>634</v>
      </c>
      <c r="E468" s="65" t="s">
        <v>480</v>
      </c>
      <c r="F468" s="65" t="s">
        <v>635</v>
      </c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4:16" ht="19.5" thickBot="1" x14ac:dyDescent="0.35">
      <c r="D469" s="64" t="s">
        <v>636</v>
      </c>
      <c r="E469" s="65" t="s">
        <v>490</v>
      </c>
      <c r="F469" s="65" t="s">
        <v>637</v>
      </c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4:16" ht="19.5" thickBot="1" x14ac:dyDescent="0.35">
      <c r="D470" s="64" t="s">
        <v>638</v>
      </c>
      <c r="E470" s="65"/>
      <c r="F470" s="65" t="s">
        <v>639</v>
      </c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4:16" ht="19.5" thickBot="1" x14ac:dyDescent="0.35">
      <c r="D471" s="64" t="s">
        <v>640</v>
      </c>
      <c r="E471" s="65" t="s">
        <v>477</v>
      </c>
      <c r="F471" s="65" t="s">
        <v>641</v>
      </c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4:16" ht="19.5" thickBot="1" x14ac:dyDescent="0.35">
      <c r="D472" s="20" t="s">
        <v>642</v>
      </c>
      <c r="E472" s="26" t="s">
        <v>7</v>
      </c>
      <c r="F472" s="65" t="s">
        <v>643</v>
      </c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4:16" ht="19.5" thickBot="1" x14ac:dyDescent="0.35">
      <c r="D473" s="20" t="s">
        <v>644</v>
      </c>
      <c r="E473" s="26" t="s">
        <v>26</v>
      </c>
      <c r="F473" s="65" t="s">
        <v>645</v>
      </c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4:16" ht="19.5" thickBot="1" x14ac:dyDescent="0.35">
      <c r="D474" s="64" t="s">
        <v>646</v>
      </c>
      <c r="E474" s="65" t="s">
        <v>16</v>
      </c>
      <c r="F474" s="65" t="s">
        <v>647</v>
      </c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4:16" ht="19.5" thickBot="1" x14ac:dyDescent="0.35">
      <c r="D475" s="66" t="s">
        <v>648</v>
      </c>
      <c r="E475" s="67" t="s">
        <v>515</v>
      </c>
      <c r="F475" s="65" t="s">
        <v>649</v>
      </c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4:16" ht="19.5" thickBot="1" x14ac:dyDescent="0.35">
      <c r="D476" s="64" t="s">
        <v>650</v>
      </c>
      <c r="E476" s="65" t="s">
        <v>11</v>
      </c>
      <c r="F476" s="65" t="s">
        <v>651</v>
      </c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4:16" ht="19.5" thickBot="1" x14ac:dyDescent="0.35">
      <c r="D477" s="64" t="s">
        <v>652</v>
      </c>
      <c r="E477" s="65" t="s">
        <v>5</v>
      </c>
      <c r="F477" s="65" t="s">
        <v>653</v>
      </c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4:16" ht="19.5" thickBot="1" x14ac:dyDescent="0.35">
      <c r="D478" s="20" t="s">
        <v>654</v>
      </c>
      <c r="E478" s="26" t="s">
        <v>655</v>
      </c>
      <c r="F478" s="65" t="s">
        <v>656</v>
      </c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4:16" ht="19.5" thickBot="1" x14ac:dyDescent="0.35">
      <c r="D479" s="20" t="s">
        <v>657</v>
      </c>
      <c r="E479" s="26" t="s">
        <v>18</v>
      </c>
      <c r="F479" s="65" t="s">
        <v>658</v>
      </c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4:16" ht="19.5" thickBot="1" x14ac:dyDescent="0.35">
      <c r="D480" s="64" t="s">
        <v>659</v>
      </c>
      <c r="E480" s="65" t="s">
        <v>31</v>
      </c>
      <c r="F480" s="65" t="s">
        <v>660</v>
      </c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4:16" ht="19.5" thickBot="1" x14ac:dyDescent="0.35">
      <c r="D481" s="64" t="s">
        <v>663</v>
      </c>
      <c r="E481" s="65" t="s">
        <v>31</v>
      </c>
      <c r="F481" s="65" t="s">
        <v>664</v>
      </c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4:16" ht="19.5" thickBot="1" x14ac:dyDescent="0.35">
      <c r="D482" s="20" t="s">
        <v>665</v>
      </c>
      <c r="E482" s="26" t="s">
        <v>26</v>
      </c>
      <c r="F482" s="65" t="s">
        <v>666</v>
      </c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4:16" ht="19.5" thickBot="1" x14ac:dyDescent="0.35">
      <c r="D483" s="72" t="s">
        <v>667</v>
      </c>
      <c r="E483" s="72" t="s">
        <v>477</v>
      </c>
      <c r="F483" s="61" t="s">
        <v>668</v>
      </c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4:16" ht="19.5" thickBot="1" x14ac:dyDescent="0.35">
      <c r="D484" s="64" t="s">
        <v>661</v>
      </c>
      <c r="E484" s="65" t="s">
        <v>7</v>
      </c>
      <c r="F484" s="65" t="s">
        <v>662</v>
      </c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4:16" ht="19.5" thickBot="1" x14ac:dyDescent="0.35">
      <c r="D485" s="64" t="s">
        <v>669</v>
      </c>
      <c r="E485" s="65" t="s">
        <v>455</v>
      </c>
      <c r="F485" s="65" t="s">
        <v>670</v>
      </c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4:16" ht="19.5" thickBot="1" x14ac:dyDescent="0.35">
      <c r="D486" s="64" t="s">
        <v>671</v>
      </c>
      <c r="E486" s="65" t="s">
        <v>11</v>
      </c>
      <c r="F486" s="65" t="s">
        <v>672</v>
      </c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4:16" ht="19.5" thickBot="1" x14ac:dyDescent="0.35">
      <c r="D487" s="64" t="s">
        <v>673</v>
      </c>
      <c r="E487" s="65" t="s">
        <v>5</v>
      </c>
      <c r="F487" s="65" t="s">
        <v>674</v>
      </c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4:16" ht="19.5" thickBot="1" x14ac:dyDescent="0.35">
      <c r="D488" s="64" t="s">
        <v>675</v>
      </c>
      <c r="E488" s="65" t="s">
        <v>480</v>
      </c>
      <c r="F488" s="65" t="s">
        <v>676</v>
      </c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4:16" ht="19.5" thickBot="1" x14ac:dyDescent="0.35">
      <c r="D489" s="64" t="s">
        <v>677</v>
      </c>
      <c r="E489" s="65" t="s">
        <v>31</v>
      </c>
      <c r="F489" s="65" t="s">
        <v>678</v>
      </c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4:16" ht="19.5" thickBot="1" x14ac:dyDescent="0.35">
      <c r="D490" s="64" t="s">
        <v>679</v>
      </c>
      <c r="E490" s="65" t="s">
        <v>7</v>
      </c>
      <c r="F490" s="65" t="s">
        <v>680</v>
      </c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4:16" ht="19.5" thickBot="1" x14ac:dyDescent="0.35">
      <c r="D491" s="64" t="s">
        <v>681</v>
      </c>
      <c r="E491" s="65" t="s">
        <v>515</v>
      </c>
      <c r="F491" s="65" t="s">
        <v>682</v>
      </c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4:16" ht="19.5" thickBot="1" x14ac:dyDescent="0.35">
      <c r="D492" s="20" t="s">
        <v>683</v>
      </c>
      <c r="E492" s="26" t="s">
        <v>11</v>
      </c>
      <c r="F492" s="65" t="s">
        <v>684</v>
      </c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4:16" ht="19.5" thickBot="1" x14ac:dyDescent="0.35">
      <c r="D493" s="64" t="s">
        <v>685</v>
      </c>
      <c r="E493" s="65" t="s">
        <v>16</v>
      </c>
      <c r="F493" s="65" t="s">
        <v>686</v>
      </c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4:16" ht="19.5" thickBot="1" x14ac:dyDescent="0.35">
      <c r="D494" s="64" t="s">
        <v>687</v>
      </c>
      <c r="E494" s="65" t="s">
        <v>31</v>
      </c>
      <c r="F494" s="65" t="s">
        <v>688</v>
      </c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4:16" ht="19.5" thickBot="1" x14ac:dyDescent="0.35">
      <c r="D495" s="64" t="s">
        <v>689</v>
      </c>
      <c r="E495" s="65"/>
      <c r="F495" s="65" t="s">
        <v>690</v>
      </c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4:16" ht="19.5" thickBot="1" x14ac:dyDescent="0.35">
      <c r="D496" s="20" t="s">
        <v>691</v>
      </c>
      <c r="E496" s="26"/>
      <c r="F496" s="65" t="s">
        <v>692</v>
      </c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4:16" ht="19.5" thickBot="1" x14ac:dyDescent="0.35">
      <c r="D497" s="64" t="s">
        <v>693</v>
      </c>
      <c r="E497" s="65" t="s">
        <v>31</v>
      </c>
      <c r="F497" s="65" t="s">
        <v>694</v>
      </c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4:16" ht="19.5" thickBot="1" x14ac:dyDescent="0.35">
      <c r="D498" s="64" t="s">
        <v>695</v>
      </c>
      <c r="E498" s="65" t="s">
        <v>480</v>
      </c>
      <c r="F498" s="65" t="s">
        <v>696</v>
      </c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4:16" ht="19.5" thickBot="1" x14ac:dyDescent="0.35">
      <c r="D499" s="66" t="s">
        <v>697</v>
      </c>
      <c r="E499" s="67" t="s">
        <v>515</v>
      </c>
      <c r="F499" s="65" t="s">
        <v>698</v>
      </c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4:16" ht="19.5" thickBot="1" x14ac:dyDescent="0.35">
      <c r="D500" s="20" t="s">
        <v>699</v>
      </c>
      <c r="E500" s="26" t="s">
        <v>492</v>
      </c>
      <c r="F500" s="65" t="s">
        <v>700</v>
      </c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4:16" ht="19.5" thickBot="1" x14ac:dyDescent="0.35">
      <c r="D501" s="64" t="s">
        <v>701</v>
      </c>
      <c r="E501" s="65" t="s">
        <v>11</v>
      </c>
      <c r="F501" s="65" t="s">
        <v>702</v>
      </c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4:16" ht="19.5" thickBot="1" x14ac:dyDescent="0.35">
      <c r="D502" s="20" t="s">
        <v>703</v>
      </c>
      <c r="E502" s="26" t="s">
        <v>26</v>
      </c>
      <c r="F502" s="65" t="s">
        <v>704</v>
      </c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4:16" ht="19.5" thickBot="1" x14ac:dyDescent="0.35">
      <c r="D503" s="20" t="s">
        <v>705</v>
      </c>
      <c r="E503" s="26" t="s">
        <v>7</v>
      </c>
      <c r="F503" s="65" t="s">
        <v>706</v>
      </c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4:16" ht="19.5" thickBot="1" x14ac:dyDescent="0.35">
      <c r="D504" s="20" t="s">
        <v>707</v>
      </c>
      <c r="E504" s="26" t="s">
        <v>7</v>
      </c>
      <c r="F504" s="65" t="s">
        <v>708</v>
      </c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4:16" ht="19.5" thickBot="1" x14ac:dyDescent="0.35">
      <c r="D505" s="20" t="s">
        <v>709</v>
      </c>
      <c r="E505" s="26" t="s">
        <v>26</v>
      </c>
      <c r="F505" s="65" t="s">
        <v>710</v>
      </c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4:16" ht="19.5" thickBot="1" x14ac:dyDescent="0.35">
      <c r="D506" s="20" t="s">
        <v>711</v>
      </c>
      <c r="E506" s="26" t="s">
        <v>31</v>
      </c>
      <c r="F506" s="65" t="s">
        <v>712</v>
      </c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4:16" ht="19.5" thickBot="1" x14ac:dyDescent="0.35">
      <c r="D507" s="20" t="s">
        <v>713</v>
      </c>
      <c r="E507" s="26" t="s">
        <v>31</v>
      </c>
      <c r="F507" s="65" t="s">
        <v>714</v>
      </c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4:16" ht="19.5" thickBot="1" x14ac:dyDescent="0.35">
      <c r="D508" s="64" t="s">
        <v>715</v>
      </c>
      <c r="E508" s="65" t="s">
        <v>490</v>
      </c>
      <c r="F508" s="65" t="s">
        <v>716</v>
      </c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4:16" ht="19.5" thickBot="1" x14ac:dyDescent="0.35">
      <c r="D509" s="64" t="s">
        <v>719</v>
      </c>
      <c r="E509" s="65" t="s">
        <v>16</v>
      </c>
      <c r="F509" s="65" t="s">
        <v>720</v>
      </c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4:16" ht="19.5" thickBot="1" x14ac:dyDescent="0.35">
      <c r="D510" s="64" t="s">
        <v>721</v>
      </c>
      <c r="E510" s="65" t="s">
        <v>480</v>
      </c>
      <c r="F510" s="65" t="s">
        <v>722</v>
      </c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4:16" ht="19.5" thickBot="1" x14ac:dyDescent="0.35">
      <c r="D511" s="64" t="s">
        <v>717</v>
      </c>
      <c r="E511" s="65" t="s">
        <v>11</v>
      </c>
      <c r="F511" s="65" t="s">
        <v>718</v>
      </c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4:16" ht="19.5" thickBot="1" x14ac:dyDescent="0.35">
      <c r="D512" s="20" t="s">
        <v>723</v>
      </c>
      <c r="E512" s="26" t="s">
        <v>31</v>
      </c>
      <c r="F512" s="65" t="s">
        <v>724</v>
      </c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4:16" ht="19.5" thickBot="1" x14ac:dyDescent="0.35">
      <c r="D513" s="63" t="s">
        <v>727</v>
      </c>
      <c r="E513" s="63" t="s">
        <v>492</v>
      </c>
      <c r="F513" s="65" t="s">
        <v>728</v>
      </c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4:16" ht="19.5" thickBot="1" x14ac:dyDescent="0.35">
      <c r="D514" s="69" t="s">
        <v>729</v>
      </c>
      <c r="E514" s="69" t="s">
        <v>31</v>
      </c>
      <c r="F514" s="65" t="s">
        <v>730</v>
      </c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4:16" ht="19.5" thickBot="1" x14ac:dyDescent="0.35">
      <c r="D515" s="63" t="s">
        <v>731</v>
      </c>
      <c r="E515" s="63" t="s">
        <v>515</v>
      </c>
      <c r="F515" s="65" t="s">
        <v>732</v>
      </c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4:16" ht="19.5" thickBot="1" x14ac:dyDescent="0.35">
      <c r="D516" s="69" t="s">
        <v>733</v>
      </c>
      <c r="E516" s="69" t="s">
        <v>26</v>
      </c>
      <c r="F516" s="65" t="s">
        <v>734</v>
      </c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4:16" ht="19.5" thickBot="1" x14ac:dyDescent="0.35">
      <c r="D517" s="63" t="s">
        <v>735</v>
      </c>
      <c r="E517" s="63" t="s">
        <v>515</v>
      </c>
      <c r="F517" s="65" t="s">
        <v>736</v>
      </c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4:16" ht="19.5" thickBot="1" x14ac:dyDescent="0.35">
      <c r="D518" s="63" t="s">
        <v>737</v>
      </c>
      <c r="E518" s="63" t="s">
        <v>515</v>
      </c>
      <c r="F518" s="65" t="s">
        <v>738</v>
      </c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4:16" ht="19.5" thickBot="1" x14ac:dyDescent="0.35">
      <c r="D519" s="63" t="s">
        <v>739</v>
      </c>
      <c r="E519" s="63" t="s">
        <v>515</v>
      </c>
      <c r="F519" s="65" t="s">
        <v>740</v>
      </c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4:16" ht="19.5" thickBot="1" x14ac:dyDescent="0.35">
      <c r="D520" s="69" t="s">
        <v>741</v>
      </c>
      <c r="E520" s="69" t="s">
        <v>742</v>
      </c>
      <c r="F520" s="65" t="s">
        <v>743</v>
      </c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4:16" ht="19.5" thickBot="1" x14ac:dyDescent="0.35">
      <c r="D521" s="69" t="s">
        <v>744</v>
      </c>
      <c r="E521" s="69"/>
      <c r="F521" s="65" t="s">
        <v>745</v>
      </c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4:16" ht="19.5" thickBot="1" x14ac:dyDescent="0.35">
      <c r="D522" s="69" t="s">
        <v>746</v>
      </c>
      <c r="E522" s="69" t="s">
        <v>587</v>
      </c>
      <c r="F522" s="65" t="s">
        <v>747</v>
      </c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4:16" ht="19.5" thickBot="1" x14ac:dyDescent="0.35">
      <c r="D523" s="63" t="s">
        <v>748</v>
      </c>
      <c r="E523" s="63" t="s">
        <v>11</v>
      </c>
      <c r="F523" s="65" t="s">
        <v>749</v>
      </c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4:16" ht="19.5" thickBot="1" x14ac:dyDescent="0.35">
      <c r="D524" s="63" t="s">
        <v>750</v>
      </c>
      <c r="E524" s="63" t="s">
        <v>492</v>
      </c>
      <c r="F524" s="65" t="s">
        <v>751</v>
      </c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4:16" ht="19.5" thickBot="1" x14ac:dyDescent="0.35">
      <c r="D525" s="63" t="s">
        <v>752</v>
      </c>
      <c r="E525" s="63"/>
      <c r="F525" s="65" t="s">
        <v>753</v>
      </c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4:16" ht="19.5" thickBot="1" x14ac:dyDescent="0.35">
      <c r="D526" s="69" t="s">
        <v>754</v>
      </c>
      <c r="E526" s="69" t="s">
        <v>26</v>
      </c>
      <c r="F526" s="65" t="s">
        <v>755</v>
      </c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4:16" ht="19.5" thickBot="1" x14ac:dyDescent="0.35">
      <c r="D527" s="69" t="s">
        <v>725</v>
      </c>
      <c r="E527" s="69"/>
      <c r="F527" s="65" t="s">
        <v>726</v>
      </c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4:16" ht="19.5" thickBot="1" x14ac:dyDescent="0.35">
      <c r="D528" s="63" t="s">
        <v>756</v>
      </c>
      <c r="E528" s="63" t="s">
        <v>455</v>
      </c>
      <c r="F528" s="65" t="s">
        <v>757</v>
      </c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4:16" ht="19.5" thickBot="1" x14ac:dyDescent="0.35">
      <c r="D529" s="69" t="s">
        <v>758</v>
      </c>
      <c r="E529" s="69" t="s">
        <v>16</v>
      </c>
      <c r="F529" s="65" t="s">
        <v>759</v>
      </c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4:16" ht="19.5" thickBot="1" x14ac:dyDescent="0.35">
      <c r="D530" s="63" t="s">
        <v>760</v>
      </c>
      <c r="E530" s="63" t="s">
        <v>515</v>
      </c>
      <c r="F530" s="65" t="s">
        <v>761</v>
      </c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4:16" ht="19.5" thickBot="1" x14ac:dyDescent="0.35">
      <c r="D531" s="63" t="s">
        <v>762</v>
      </c>
      <c r="E531" s="63"/>
      <c r="F531" s="65" t="s">
        <v>763</v>
      </c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4:16" ht="19.5" thickBot="1" x14ac:dyDescent="0.35">
      <c r="D532" s="63" t="s">
        <v>764</v>
      </c>
      <c r="E532" s="63" t="s">
        <v>7</v>
      </c>
      <c r="F532" s="65" t="s">
        <v>765</v>
      </c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4:16" ht="19.5" thickBot="1" x14ac:dyDescent="0.35">
      <c r="D533" s="69" t="s">
        <v>766</v>
      </c>
      <c r="E533" s="69" t="s">
        <v>455</v>
      </c>
      <c r="F533" s="65" t="s">
        <v>767</v>
      </c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4:16" ht="19.5" thickBot="1" x14ac:dyDescent="0.35">
      <c r="D534" s="63" t="s">
        <v>768</v>
      </c>
      <c r="E534" s="63" t="s">
        <v>455</v>
      </c>
      <c r="F534" s="65" t="s">
        <v>769</v>
      </c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4:16" ht="19.5" thickBot="1" x14ac:dyDescent="0.35">
      <c r="D535" s="69" t="s">
        <v>770</v>
      </c>
      <c r="E535" s="69" t="s">
        <v>11</v>
      </c>
      <c r="F535" s="65" t="s">
        <v>771</v>
      </c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4:16" ht="19.5" thickBot="1" x14ac:dyDescent="0.35">
      <c r="D536" s="63" t="s">
        <v>772</v>
      </c>
      <c r="E536" s="63" t="s">
        <v>480</v>
      </c>
      <c r="F536" s="65" t="s">
        <v>773</v>
      </c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4:16" ht="19.5" thickBot="1" x14ac:dyDescent="0.35">
      <c r="D537" s="63" t="s">
        <v>774</v>
      </c>
      <c r="E537" s="63" t="s">
        <v>5</v>
      </c>
      <c r="F537" s="65" t="s">
        <v>775</v>
      </c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4:16" ht="19.5" thickBot="1" x14ac:dyDescent="0.35">
      <c r="D538" s="63" t="s">
        <v>776</v>
      </c>
      <c r="E538" s="63" t="s">
        <v>490</v>
      </c>
      <c r="F538" s="65" t="s">
        <v>777</v>
      </c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4:16" ht="19.5" thickBot="1" x14ac:dyDescent="0.35">
      <c r="D539" s="63" t="s">
        <v>778</v>
      </c>
      <c r="E539" s="63" t="s">
        <v>467</v>
      </c>
      <c r="F539" s="65" t="s">
        <v>779</v>
      </c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4:16" ht="19.5" thickBot="1" x14ac:dyDescent="0.35">
      <c r="D540" s="63" t="s">
        <v>780</v>
      </c>
      <c r="E540" s="63" t="s">
        <v>7</v>
      </c>
      <c r="F540" s="65" t="s">
        <v>781</v>
      </c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4:16" ht="19.5" thickBot="1" x14ac:dyDescent="0.35">
      <c r="D541" s="69" t="s">
        <v>782</v>
      </c>
      <c r="E541" s="69" t="s">
        <v>477</v>
      </c>
      <c r="F541" s="65" t="s">
        <v>783</v>
      </c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4:16" ht="19.5" thickBot="1" x14ac:dyDescent="0.35">
      <c r="D542" s="69" t="s">
        <v>784</v>
      </c>
      <c r="E542" s="69" t="s">
        <v>16</v>
      </c>
      <c r="F542" s="65" t="s">
        <v>785</v>
      </c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4:16" ht="19.5" thickBot="1" x14ac:dyDescent="0.35">
      <c r="D543" s="69" t="s">
        <v>786</v>
      </c>
      <c r="E543" s="69" t="s">
        <v>31</v>
      </c>
      <c r="F543" s="65" t="s">
        <v>787</v>
      </c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4:16" ht="19.5" thickBot="1" x14ac:dyDescent="0.35">
      <c r="D544" s="63" t="s">
        <v>788</v>
      </c>
      <c r="E544" s="63" t="s">
        <v>7</v>
      </c>
      <c r="F544" s="65" t="s">
        <v>789</v>
      </c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4:16" ht="19.5" thickBot="1" x14ac:dyDescent="0.35">
      <c r="D545" s="63" t="s">
        <v>790</v>
      </c>
      <c r="E545" s="63" t="s">
        <v>5</v>
      </c>
      <c r="F545" s="65" t="s">
        <v>791</v>
      </c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4:16" ht="19.5" thickBot="1" x14ac:dyDescent="0.35">
      <c r="D546" s="63" t="s">
        <v>792</v>
      </c>
      <c r="E546" s="63" t="s">
        <v>31</v>
      </c>
      <c r="F546" s="65" t="s">
        <v>793</v>
      </c>
      <c r="G546" s="1"/>
      <c r="H546" s="1"/>
      <c r="I546" s="1"/>
      <c r="J546" s="1"/>
      <c r="K546" s="1"/>
      <c r="L546" s="1"/>
      <c r="M546" s="1"/>
      <c r="N546" s="1"/>
      <c r="O546" s="1"/>
      <c r="P546" s="1"/>
    </row>
    <row r="547" spans="4:16" ht="19.5" thickBot="1" x14ac:dyDescent="0.35">
      <c r="D547" s="63" t="s">
        <v>794</v>
      </c>
      <c r="E547" s="63" t="s">
        <v>492</v>
      </c>
      <c r="F547" s="65" t="s">
        <v>795</v>
      </c>
      <c r="G547" s="1"/>
      <c r="H547" s="1"/>
      <c r="I547" s="1"/>
      <c r="J547" s="1"/>
      <c r="K547" s="1"/>
      <c r="L547" s="1"/>
      <c r="M547" s="1"/>
      <c r="N547" s="1"/>
      <c r="O547" s="1"/>
      <c r="P547" s="1"/>
    </row>
    <row r="548" spans="4:16" ht="19.5" thickBot="1" x14ac:dyDescent="0.35">
      <c r="D548" s="63" t="s">
        <v>796</v>
      </c>
      <c r="E548" s="63" t="s">
        <v>480</v>
      </c>
      <c r="F548" s="65" t="s">
        <v>797</v>
      </c>
      <c r="G548" s="1"/>
      <c r="H548" s="1"/>
      <c r="I548" s="1"/>
      <c r="J548" s="1"/>
      <c r="K548" s="1"/>
      <c r="L548" s="1"/>
      <c r="M548" s="1"/>
      <c r="N548" s="1"/>
      <c r="O548" s="1"/>
      <c r="P548" s="1"/>
    </row>
    <row r="549" spans="4:16" ht="19.5" thickBot="1" x14ac:dyDescent="0.35">
      <c r="D549" s="63" t="s">
        <v>798</v>
      </c>
      <c r="E549" s="63" t="s">
        <v>480</v>
      </c>
      <c r="F549" s="65" t="s">
        <v>799</v>
      </c>
      <c r="G549" s="1"/>
      <c r="H549" s="1"/>
      <c r="I549" s="1"/>
      <c r="J549" s="1"/>
      <c r="K549" s="1"/>
      <c r="L549" s="1"/>
      <c r="M549" s="1"/>
      <c r="N549" s="1"/>
      <c r="O549" s="1"/>
      <c r="P549" s="1"/>
    </row>
    <row r="550" spans="4:16" ht="19.5" thickBot="1" x14ac:dyDescent="0.35">
      <c r="D550" s="69" t="s">
        <v>800</v>
      </c>
      <c r="E550" s="69" t="s">
        <v>801</v>
      </c>
      <c r="F550" s="65" t="s">
        <v>802</v>
      </c>
      <c r="G550" s="1"/>
      <c r="H550" s="1"/>
      <c r="I550" s="1"/>
      <c r="J550" s="1"/>
      <c r="K550" s="1"/>
      <c r="L550" s="1"/>
      <c r="M550" s="1"/>
      <c r="N550" s="1"/>
      <c r="O550" s="1"/>
      <c r="P550" s="1"/>
    </row>
    <row r="551" spans="4:16" ht="19.5" thickBot="1" x14ac:dyDescent="0.35">
      <c r="D551" s="69" t="s">
        <v>803</v>
      </c>
      <c r="E551" s="69" t="s">
        <v>587</v>
      </c>
      <c r="F551" s="65" t="s">
        <v>804</v>
      </c>
      <c r="G551" s="1"/>
      <c r="H551" s="1"/>
      <c r="I551" s="1"/>
      <c r="J551" s="1"/>
      <c r="K551" s="1"/>
      <c r="L551" s="1"/>
      <c r="M551" s="1"/>
      <c r="N551" s="1"/>
      <c r="O551" s="1"/>
      <c r="P551" s="1"/>
    </row>
    <row r="552" spans="4:16" ht="19.5" thickBot="1" x14ac:dyDescent="0.35">
      <c r="D552" s="69" t="s">
        <v>807</v>
      </c>
      <c r="E552" s="69" t="s">
        <v>5</v>
      </c>
      <c r="F552" s="65" t="s">
        <v>808</v>
      </c>
      <c r="G552" s="1"/>
      <c r="H552" s="1"/>
      <c r="I552" s="1"/>
      <c r="J552" s="1"/>
      <c r="K552" s="1"/>
      <c r="L552" s="1"/>
      <c r="M552" s="1"/>
      <c r="N552" s="1"/>
      <c r="O552" s="1"/>
      <c r="P552" s="1"/>
    </row>
    <row r="553" spans="4:16" ht="19.5" thickBot="1" x14ac:dyDescent="0.35">
      <c r="D553" s="74" t="s">
        <v>805</v>
      </c>
      <c r="E553" s="112"/>
      <c r="F553" s="65" t="s">
        <v>806</v>
      </c>
      <c r="G553" s="1"/>
      <c r="H553" s="1"/>
      <c r="I553" s="1"/>
      <c r="J553" s="1"/>
      <c r="K553" s="1"/>
      <c r="L553" s="1"/>
      <c r="M553" s="1"/>
      <c r="N553" s="1"/>
      <c r="O553" s="1"/>
      <c r="P553" s="1"/>
    </row>
    <row r="554" spans="4:16" ht="19.5" thickBot="1" x14ac:dyDescent="0.35">
      <c r="D554" s="69" t="s">
        <v>809</v>
      </c>
      <c r="E554" s="69" t="s">
        <v>26</v>
      </c>
      <c r="F554" s="65" t="s">
        <v>810</v>
      </c>
      <c r="G554" s="1"/>
      <c r="H554" s="1"/>
      <c r="I554" s="1"/>
      <c r="J554" s="1"/>
      <c r="K554" s="1"/>
      <c r="L554" s="1"/>
      <c r="M554" s="1"/>
      <c r="N554" s="1"/>
      <c r="O554" s="1"/>
      <c r="P554" s="1"/>
    </row>
    <row r="555" spans="4:16" ht="19.5" thickBot="1" x14ac:dyDescent="0.35">
      <c r="D555" s="63" t="s">
        <v>811</v>
      </c>
      <c r="E555" s="63" t="s">
        <v>5</v>
      </c>
      <c r="F555" s="65" t="s">
        <v>812</v>
      </c>
      <c r="G555" s="1"/>
      <c r="H555" s="1"/>
      <c r="I555" s="1"/>
      <c r="J555" s="1"/>
      <c r="K555" s="1"/>
      <c r="L555" s="1"/>
      <c r="M555" s="1"/>
      <c r="N555" s="1"/>
      <c r="O555" s="1"/>
      <c r="P555" s="1"/>
    </row>
    <row r="556" spans="4:16" ht="19.5" thickBot="1" x14ac:dyDescent="0.35">
      <c r="D556" s="63" t="s">
        <v>813</v>
      </c>
      <c r="E556" s="63" t="s">
        <v>587</v>
      </c>
      <c r="F556" s="65" t="s">
        <v>814</v>
      </c>
      <c r="G556" s="1"/>
      <c r="H556" s="1"/>
      <c r="I556" s="1"/>
      <c r="J556" s="1"/>
      <c r="K556" s="1"/>
      <c r="L556" s="1"/>
      <c r="M556" s="1"/>
      <c r="N556" s="1"/>
      <c r="O556" s="1"/>
      <c r="P556" s="1"/>
    </row>
    <row r="557" spans="4:16" ht="19.5" thickBot="1" x14ac:dyDescent="0.35">
      <c r="D557" s="63" t="s">
        <v>815</v>
      </c>
      <c r="E557" s="63" t="s">
        <v>5</v>
      </c>
      <c r="F557" s="65" t="s">
        <v>816</v>
      </c>
      <c r="G557" s="1"/>
      <c r="H557" s="1"/>
      <c r="I557" s="1"/>
      <c r="J557" s="1"/>
      <c r="K557" s="1"/>
      <c r="L557" s="1"/>
      <c r="M557" s="1"/>
      <c r="N557" s="1"/>
      <c r="O557" s="1"/>
      <c r="P557" s="1"/>
    </row>
    <row r="558" spans="4:16" ht="19.5" thickBot="1" x14ac:dyDescent="0.35">
      <c r="D558" s="63" t="s">
        <v>817</v>
      </c>
      <c r="E558" s="63" t="s">
        <v>5</v>
      </c>
      <c r="F558" s="65" t="s">
        <v>818</v>
      </c>
      <c r="G558" s="1"/>
      <c r="H558" s="1"/>
      <c r="I558" s="1"/>
      <c r="J558" s="1"/>
      <c r="K558" s="1"/>
      <c r="L558" s="1"/>
      <c r="M558" s="1"/>
      <c r="N558" s="1"/>
      <c r="O558" s="1"/>
      <c r="P558" s="1"/>
    </row>
    <row r="559" spans="4:16" ht="19.5" thickBot="1" x14ac:dyDescent="0.35">
      <c r="D559" s="69" t="s">
        <v>819</v>
      </c>
      <c r="E559" s="69"/>
      <c r="F559" s="65" t="s">
        <v>820</v>
      </c>
      <c r="G559" s="1"/>
      <c r="H559" s="1"/>
      <c r="I559" s="1"/>
      <c r="J559" s="1"/>
      <c r="K559" s="1"/>
      <c r="L559" s="1"/>
      <c r="M559" s="1"/>
      <c r="N559" s="1"/>
      <c r="O559" s="1"/>
      <c r="P559" s="1"/>
    </row>
    <row r="560" spans="4:16" ht="19.5" thickBot="1" x14ac:dyDescent="0.35">
      <c r="D560" s="63" t="s">
        <v>821</v>
      </c>
      <c r="E560" s="63" t="s">
        <v>515</v>
      </c>
      <c r="F560" s="65" t="s">
        <v>822</v>
      </c>
      <c r="G560" s="1"/>
      <c r="H560" s="1"/>
      <c r="I560" s="1"/>
      <c r="J560" s="1"/>
      <c r="K560" s="1"/>
      <c r="L560" s="1"/>
      <c r="M560" s="1"/>
      <c r="N560" s="1"/>
      <c r="O560" s="1"/>
      <c r="P560" s="1"/>
    </row>
    <row r="561" spans="4:16" ht="19.5" thickBot="1" x14ac:dyDescent="0.35">
      <c r="D561" s="63" t="s">
        <v>823</v>
      </c>
      <c r="E561" s="63" t="s">
        <v>11</v>
      </c>
      <c r="F561" s="65" t="s">
        <v>824</v>
      </c>
      <c r="G561" s="1"/>
      <c r="H561" s="1"/>
      <c r="I561" s="1"/>
      <c r="J561" s="1"/>
      <c r="K561" s="1"/>
      <c r="L561" s="1"/>
      <c r="M561" s="1"/>
      <c r="N561" s="1"/>
      <c r="O561" s="1"/>
      <c r="P561" s="1"/>
    </row>
    <row r="562" spans="4:16" ht="19.5" thickBot="1" x14ac:dyDescent="0.35">
      <c r="D562" s="63" t="s">
        <v>825</v>
      </c>
      <c r="E562" s="63"/>
      <c r="F562" s="67" t="s">
        <v>826</v>
      </c>
      <c r="G562" s="1"/>
      <c r="H562" s="1"/>
      <c r="I562" s="1"/>
      <c r="J562" s="1"/>
      <c r="K562" s="1"/>
      <c r="L562" s="1"/>
      <c r="M562" s="1"/>
      <c r="N562" s="1"/>
      <c r="O562" s="1"/>
      <c r="P562" s="1"/>
    </row>
    <row r="563" spans="4:16" ht="19.5" thickBot="1" x14ac:dyDescent="0.35">
      <c r="D563" s="69" t="s">
        <v>827</v>
      </c>
      <c r="E563" s="69" t="s">
        <v>18</v>
      </c>
      <c r="F563" s="65" t="s">
        <v>828</v>
      </c>
      <c r="G563" s="1"/>
      <c r="H563" s="1"/>
      <c r="I563" s="1"/>
      <c r="J563" s="1"/>
      <c r="K563" s="1"/>
      <c r="L563" s="1"/>
      <c r="M563" s="1"/>
      <c r="N563" s="1"/>
      <c r="O563" s="1"/>
      <c r="P563" s="1"/>
    </row>
    <row r="564" spans="4:16" ht="19.5" thickBot="1" x14ac:dyDescent="0.35">
      <c r="D564" s="63" t="s">
        <v>829</v>
      </c>
      <c r="E564" s="63"/>
      <c r="F564" s="67" t="s">
        <v>830</v>
      </c>
      <c r="G564" s="1"/>
      <c r="H564" s="1"/>
      <c r="I564" s="1"/>
      <c r="J564" s="1"/>
      <c r="K564" s="1"/>
      <c r="L564" s="1"/>
      <c r="M564" s="1"/>
      <c r="N564" s="1"/>
      <c r="O564" s="1"/>
      <c r="P564" s="1"/>
    </row>
    <row r="565" spans="4:16" ht="19.5" thickBot="1" x14ac:dyDescent="0.35">
      <c r="D565" s="63" t="s">
        <v>831</v>
      </c>
      <c r="E565" s="63" t="s">
        <v>477</v>
      </c>
      <c r="F565" s="65" t="s">
        <v>832</v>
      </c>
      <c r="G565" s="1"/>
      <c r="H565" s="1"/>
      <c r="I565" s="1"/>
      <c r="J565" s="1"/>
      <c r="K565" s="1"/>
      <c r="L565" s="1"/>
      <c r="M565" s="1"/>
      <c r="N565" s="1"/>
      <c r="O565" s="1"/>
      <c r="P565" s="1"/>
    </row>
    <row r="566" spans="4:16" ht="19.5" thickBot="1" x14ac:dyDescent="0.35">
      <c r="D566" s="69" t="s">
        <v>833</v>
      </c>
      <c r="E566" s="69" t="s">
        <v>16</v>
      </c>
      <c r="F566" s="65" t="s">
        <v>834</v>
      </c>
      <c r="G566" s="1"/>
      <c r="H566" s="1"/>
      <c r="I566" s="1"/>
      <c r="J566" s="1"/>
      <c r="K566" s="1"/>
      <c r="L566" s="1"/>
      <c r="M566" s="1"/>
      <c r="N566" s="1"/>
      <c r="O566" s="1"/>
      <c r="P566" s="1"/>
    </row>
    <row r="567" spans="4:16" ht="19.5" thickBot="1" x14ac:dyDescent="0.35">
      <c r="D567" s="69" t="s">
        <v>835</v>
      </c>
      <c r="E567" s="69" t="s">
        <v>26</v>
      </c>
      <c r="F567" s="65" t="s">
        <v>836</v>
      </c>
      <c r="G567" s="1"/>
      <c r="H567" s="1"/>
      <c r="I567" s="1"/>
      <c r="J567" s="1"/>
      <c r="K567" s="1"/>
      <c r="L567" s="1"/>
      <c r="M567" s="1"/>
      <c r="N567" s="1"/>
      <c r="O567" s="1"/>
      <c r="P567" s="1"/>
    </row>
    <row r="568" spans="4:16" ht="19.5" thickBot="1" x14ac:dyDescent="0.35">
      <c r="D568" s="71" t="s">
        <v>837</v>
      </c>
      <c r="E568" s="72" t="s">
        <v>455</v>
      </c>
      <c r="F568" s="65" t="s">
        <v>838</v>
      </c>
      <c r="G568" s="1"/>
      <c r="H568" s="1"/>
      <c r="I568" s="1"/>
      <c r="J568" s="1"/>
      <c r="K568" s="1"/>
      <c r="L568" s="1"/>
      <c r="M568" s="1"/>
      <c r="N568" s="1"/>
      <c r="O568" s="1"/>
      <c r="P568" s="1"/>
    </row>
    <row r="569" spans="4:16" ht="19.5" thickBot="1" x14ac:dyDescent="0.35">
      <c r="D569" s="63" t="s">
        <v>839</v>
      </c>
      <c r="E569" s="63" t="s">
        <v>515</v>
      </c>
      <c r="F569" s="65" t="s">
        <v>840</v>
      </c>
      <c r="G569" s="1"/>
      <c r="H569" s="1"/>
      <c r="I569" s="1"/>
      <c r="J569" s="1"/>
      <c r="K569" s="1"/>
      <c r="L569" s="1"/>
      <c r="M569" s="1"/>
      <c r="N569" s="1"/>
      <c r="O569" s="1"/>
      <c r="P569" s="1"/>
    </row>
    <row r="570" spans="4:16" ht="19.5" thickBot="1" x14ac:dyDescent="0.35">
      <c r="D570" s="69" t="s">
        <v>841</v>
      </c>
      <c r="E570" s="69" t="s">
        <v>5</v>
      </c>
      <c r="F570" s="65" t="s">
        <v>842</v>
      </c>
      <c r="G570" s="1"/>
      <c r="H570" s="1"/>
      <c r="I570" s="1"/>
      <c r="J570" s="1"/>
      <c r="K570" s="1"/>
      <c r="L570" s="1"/>
      <c r="M570" s="1"/>
      <c r="N570" s="1"/>
      <c r="O570" s="1"/>
      <c r="P570" s="1"/>
    </row>
    <row r="571" spans="4:16" ht="19.5" thickBot="1" x14ac:dyDescent="0.35">
      <c r="D571" s="63" t="s">
        <v>843</v>
      </c>
      <c r="E571" s="63" t="s">
        <v>480</v>
      </c>
      <c r="F571" s="65" t="s">
        <v>844</v>
      </c>
      <c r="G571" s="1"/>
      <c r="H571" s="1"/>
      <c r="I571" s="1"/>
      <c r="J571" s="1"/>
      <c r="K571" s="1"/>
      <c r="L571" s="1"/>
      <c r="M571" s="1"/>
      <c r="N571" s="1"/>
      <c r="O571" s="1"/>
      <c r="P571" s="1"/>
    </row>
    <row r="572" spans="4:16" ht="19.5" thickBot="1" x14ac:dyDescent="0.35">
      <c r="D572" s="63" t="s">
        <v>845</v>
      </c>
      <c r="E572" s="63" t="s">
        <v>455</v>
      </c>
      <c r="F572" s="65" t="s">
        <v>846</v>
      </c>
      <c r="G572" s="1"/>
      <c r="H572" s="1"/>
      <c r="I572" s="1"/>
      <c r="J572" s="1"/>
      <c r="K572" s="1"/>
      <c r="L572" s="1"/>
      <c r="M572" s="1"/>
      <c r="N572" s="1"/>
      <c r="O572" s="1"/>
      <c r="P572" s="1"/>
    </row>
    <row r="573" spans="4:16" ht="19.5" thickBot="1" x14ac:dyDescent="0.35">
      <c r="D573" s="63" t="s">
        <v>847</v>
      </c>
      <c r="E573" s="63"/>
      <c r="F573" s="67" t="s">
        <v>848</v>
      </c>
      <c r="G573" s="1"/>
      <c r="H573" s="1"/>
      <c r="I573" s="1"/>
      <c r="J573" s="1"/>
      <c r="K573" s="1"/>
      <c r="L573" s="1"/>
      <c r="M573" s="1"/>
      <c r="N573" s="1"/>
      <c r="O573" s="1"/>
      <c r="P573" s="1"/>
    </row>
    <row r="574" spans="4:16" ht="19.5" thickBot="1" x14ac:dyDescent="0.35">
      <c r="D574" s="63" t="s">
        <v>849</v>
      </c>
      <c r="E574" s="63" t="s">
        <v>5</v>
      </c>
      <c r="F574" s="65" t="s">
        <v>850</v>
      </c>
      <c r="G574" s="1"/>
      <c r="H574" s="1"/>
      <c r="I574" s="1"/>
      <c r="J574" s="1"/>
      <c r="K574" s="1"/>
      <c r="L574" s="1"/>
      <c r="M574" s="1"/>
      <c r="N574" s="1"/>
      <c r="O574" s="1"/>
      <c r="P574" s="1"/>
    </row>
    <row r="575" spans="4:16" ht="19.5" thickBot="1" x14ac:dyDescent="0.35">
      <c r="D575" s="69" t="s">
        <v>851</v>
      </c>
      <c r="E575" s="69" t="s">
        <v>26</v>
      </c>
      <c r="F575" s="65" t="s">
        <v>852</v>
      </c>
      <c r="G575" s="1"/>
      <c r="H575" s="1"/>
      <c r="I575" s="1"/>
      <c r="J575" s="1"/>
      <c r="K575" s="1"/>
      <c r="L575" s="1"/>
      <c r="M575" s="1"/>
      <c r="N575" s="1"/>
      <c r="O575" s="1"/>
      <c r="P575" s="1"/>
    </row>
    <row r="576" spans="4:16" ht="19.5" thickBot="1" x14ac:dyDescent="0.35">
      <c r="D576" s="63" t="s">
        <v>853</v>
      </c>
      <c r="E576" s="63" t="s">
        <v>480</v>
      </c>
      <c r="F576" s="65" t="s">
        <v>854</v>
      </c>
      <c r="G576" s="1"/>
      <c r="H576" s="1"/>
      <c r="I576" s="1"/>
      <c r="J576" s="1"/>
      <c r="K576" s="1"/>
      <c r="L576" s="1"/>
      <c r="M576" s="1"/>
      <c r="N576" s="1"/>
      <c r="O576" s="1"/>
      <c r="P576" s="1"/>
    </row>
    <row r="577" spans="4:16" ht="19.5" thickBot="1" x14ac:dyDescent="0.35">
      <c r="D577" s="63" t="s">
        <v>855</v>
      </c>
      <c r="E577" s="63" t="s">
        <v>480</v>
      </c>
      <c r="F577" s="65" t="s">
        <v>856</v>
      </c>
      <c r="G577" s="1"/>
      <c r="H577" s="1"/>
      <c r="I577" s="1"/>
      <c r="J577" s="1"/>
      <c r="K577" s="1"/>
      <c r="L577" s="1"/>
      <c r="M577" s="1"/>
      <c r="N577" s="1"/>
      <c r="O577" s="1"/>
      <c r="P577" s="1"/>
    </row>
    <row r="578" spans="4:16" ht="19.5" thickBot="1" x14ac:dyDescent="0.35">
      <c r="D578" s="69" t="s">
        <v>857</v>
      </c>
      <c r="E578" s="69" t="s">
        <v>26</v>
      </c>
      <c r="F578" s="65" t="s">
        <v>858</v>
      </c>
      <c r="G578" s="1"/>
      <c r="H578" s="1"/>
      <c r="I578" s="1"/>
      <c r="J578" s="1"/>
      <c r="K578" s="1"/>
      <c r="L578" s="1"/>
      <c r="M578" s="1"/>
      <c r="N578" s="1"/>
      <c r="O578" s="1"/>
      <c r="P578" s="1"/>
    </row>
    <row r="579" spans="4:16" ht="19.5" thickBot="1" x14ac:dyDescent="0.35">
      <c r="D579" s="71" t="s">
        <v>859</v>
      </c>
      <c r="E579" s="72" t="s">
        <v>463</v>
      </c>
      <c r="F579" s="65" t="s">
        <v>860</v>
      </c>
      <c r="G579" s="1"/>
      <c r="H579" s="1"/>
      <c r="I579" s="1"/>
      <c r="J579" s="1"/>
      <c r="K579" s="1"/>
      <c r="L579" s="1"/>
      <c r="M579" s="1"/>
      <c r="N579" s="1"/>
      <c r="O579" s="1"/>
      <c r="P579" s="1"/>
    </row>
    <row r="580" spans="4:16" ht="19.5" thickBot="1" x14ac:dyDescent="0.35">
      <c r="D580" s="69" t="s">
        <v>861</v>
      </c>
      <c r="E580" s="69" t="s">
        <v>26</v>
      </c>
      <c r="F580" s="65" t="s">
        <v>862</v>
      </c>
      <c r="G580" s="1"/>
      <c r="H580" s="1"/>
      <c r="I580" s="1"/>
      <c r="J580" s="1"/>
      <c r="K580" s="1"/>
      <c r="L580" s="1"/>
      <c r="M580" s="1"/>
      <c r="N580" s="1"/>
      <c r="O580" s="1"/>
      <c r="P580" s="1"/>
    </row>
    <row r="581" spans="4:16" ht="19.5" thickBot="1" x14ac:dyDescent="0.35">
      <c r="D581" s="63" t="s">
        <v>863</v>
      </c>
      <c r="E581" s="63" t="s">
        <v>5</v>
      </c>
      <c r="F581" s="65" t="s">
        <v>864</v>
      </c>
      <c r="G581" s="1"/>
      <c r="H581" s="1"/>
      <c r="I581" s="1"/>
      <c r="J581" s="1"/>
      <c r="K581" s="1"/>
      <c r="L581" s="1"/>
      <c r="M581" s="1"/>
      <c r="N581" s="1"/>
      <c r="O581" s="1"/>
      <c r="P581" s="1"/>
    </row>
    <row r="582" spans="4:16" ht="19.5" thickBot="1" x14ac:dyDescent="0.35">
      <c r="D582" s="63" t="s">
        <v>865</v>
      </c>
      <c r="E582" s="63" t="s">
        <v>31</v>
      </c>
      <c r="F582" s="65" t="s">
        <v>866</v>
      </c>
      <c r="G582" s="1"/>
      <c r="H582" s="1"/>
      <c r="I582" s="1"/>
      <c r="J582" s="1"/>
      <c r="K582" s="1"/>
      <c r="L582" s="1"/>
      <c r="M582" s="1"/>
      <c r="N582" s="1"/>
      <c r="O582" s="1"/>
      <c r="P582" s="1"/>
    </row>
    <row r="583" spans="4:16" ht="19.5" thickBot="1" x14ac:dyDescent="0.35">
      <c r="D583" s="71" t="s">
        <v>867</v>
      </c>
      <c r="E583" s="72" t="s">
        <v>5</v>
      </c>
      <c r="F583" s="65" t="s">
        <v>868</v>
      </c>
      <c r="G583" s="1"/>
      <c r="H583" s="1"/>
      <c r="I583" s="1"/>
      <c r="J583" s="1"/>
      <c r="K583" s="1"/>
      <c r="L583" s="1"/>
      <c r="M583" s="1"/>
      <c r="N583" s="1"/>
      <c r="O583" s="1"/>
      <c r="P583" s="1"/>
    </row>
    <row r="584" spans="4:16" ht="19.5" thickBot="1" x14ac:dyDescent="0.35">
      <c r="D584" s="63" t="s">
        <v>869</v>
      </c>
      <c r="E584" s="63" t="s">
        <v>455</v>
      </c>
      <c r="F584" s="65" t="s">
        <v>870</v>
      </c>
      <c r="G584" s="1"/>
      <c r="H584" s="1"/>
      <c r="I584" s="1"/>
      <c r="J584" s="1"/>
      <c r="K584" s="1"/>
      <c r="L584" s="1"/>
      <c r="M584" s="1"/>
      <c r="N584" s="1"/>
      <c r="O584" s="1"/>
      <c r="P584" s="1"/>
    </row>
    <row r="585" spans="4:16" ht="19.5" thickBot="1" x14ac:dyDescent="0.35">
      <c r="D585" s="63" t="s">
        <v>871</v>
      </c>
      <c r="E585" s="63" t="s">
        <v>5</v>
      </c>
      <c r="F585" s="65" t="s">
        <v>872</v>
      </c>
      <c r="G585" s="1"/>
      <c r="H585" s="1"/>
      <c r="I585" s="1"/>
      <c r="J585" s="1"/>
      <c r="K585" s="1"/>
      <c r="L585" s="1"/>
      <c r="M585" s="1"/>
      <c r="N585" s="1"/>
      <c r="O585" s="1"/>
      <c r="P585" s="1"/>
    </row>
    <row r="586" spans="4:16" ht="19.5" thickBot="1" x14ac:dyDescent="0.35">
      <c r="D586" s="63" t="s">
        <v>873</v>
      </c>
      <c r="E586" s="63"/>
      <c r="F586" s="67" t="s">
        <v>874</v>
      </c>
      <c r="G586" s="1"/>
      <c r="H586" s="1"/>
      <c r="I586" s="1"/>
      <c r="J586" s="1"/>
      <c r="K586" s="1"/>
      <c r="L586" s="1"/>
      <c r="M586" s="1"/>
      <c r="N586" s="1"/>
      <c r="O586" s="1"/>
      <c r="P586" s="1"/>
    </row>
    <row r="587" spans="4:16" ht="19.5" thickBot="1" x14ac:dyDescent="0.35">
      <c r="D587" s="63" t="s">
        <v>875</v>
      </c>
      <c r="E587" s="63" t="s">
        <v>477</v>
      </c>
      <c r="F587" s="65" t="s">
        <v>876</v>
      </c>
      <c r="G587" s="1"/>
      <c r="H587" s="1"/>
      <c r="I587" s="1"/>
      <c r="J587" s="1"/>
      <c r="K587" s="1"/>
      <c r="L587" s="1"/>
      <c r="M587" s="1"/>
      <c r="N587" s="1"/>
      <c r="O587" s="1"/>
      <c r="P587" s="1"/>
    </row>
    <row r="588" spans="4:16" ht="19.5" thickBot="1" x14ac:dyDescent="0.35">
      <c r="D588" s="69" t="s">
        <v>877</v>
      </c>
      <c r="E588" s="69" t="s">
        <v>524</v>
      </c>
      <c r="F588" s="65" t="s">
        <v>878</v>
      </c>
      <c r="G588" s="1"/>
      <c r="H588" s="1"/>
      <c r="I588" s="1"/>
      <c r="J588" s="1"/>
      <c r="K588" s="1"/>
      <c r="L588" s="1"/>
      <c r="M588" s="1"/>
      <c r="N588" s="1"/>
      <c r="O588" s="1"/>
      <c r="P588" s="1"/>
    </row>
    <row r="589" spans="4:16" ht="19.5" thickBot="1" x14ac:dyDescent="0.35">
      <c r="D589" s="63" t="s">
        <v>879</v>
      </c>
      <c r="E589" s="63" t="s">
        <v>7</v>
      </c>
      <c r="F589" s="65" t="s">
        <v>880</v>
      </c>
      <c r="G589" s="1"/>
      <c r="H589" s="1"/>
      <c r="I589" s="1"/>
      <c r="J589" s="1"/>
      <c r="K589" s="1"/>
      <c r="L589" s="1"/>
      <c r="M589" s="1"/>
      <c r="N589" s="1"/>
      <c r="O589" s="1"/>
      <c r="P589" s="1"/>
    </row>
    <row r="590" spans="4:16" ht="19.5" thickBot="1" x14ac:dyDescent="0.35">
      <c r="D590" s="71" t="s">
        <v>881</v>
      </c>
      <c r="E590" s="71" t="s">
        <v>463</v>
      </c>
      <c r="F590" s="65" t="s">
        <v>882</v>
      </c>
      <c r="G590" s="1"/>
      <c r="H590" s="1"/>
      <c r="I590" s="1"/>
      <c r="J590" s="1"/>
      <c r="K590" s="1"/>
      <c r="L590" s="1"/>
      <c r="M590" s="1"/>
      <c r="N590" s="1"/>
      <c r="O590" s="1"/>
      <c r="P590" s="1"/>
    </row>
    <row r="591" spans="4:16" ht="19.5" thickBot="1" x14ac:dyDescent="0.35">
      <c r="D591" s="69" t="s">
        <v>883</v>
      </c>
      <c r="E591" s="69"/>
      <c r="F591" s="65" t="s">
        <v>884</v>
      </c>
      <c r="G591" s="1"/>
      <c r="H591" s="1"/>
      <c r="I591" s="1"/>
      <c r="J591" s="1"/>
      <c r="K591" s="1"/>
      <c r="L591" s="1"/>
      <c r="M591" s="1"/>
      <c r="N591" s="1"/>
      <c r="O591" s="1"/>
      <c r="P591" s="1"/>
    </row>
    <row r="592" spans="4:16" ht="19.5" thickBot="1" x14ac:dyDescent="0.35">
      <c r="D592" s="69" t="s">
        <v>885</v>
      </c>
      <c r="E592" s="69"/>
      <c r="F592" s="65" t="s">
        <v>886</v>
      </c>
      <c r="G592" s="1"/>
      <c r="H592" s="1"/>
      <c r="I592" s="1"/>
      <c r="J592" s="1"/>
      <c r="K592" s="1"/>
      <c r="L592" s="1"/>
      <c r="M592" s="1"/>
      <c r="N592" s="1"/>
      <c r="O592" s="1"/>
      <c r="P592" s="1"/>
    </row>
    <row r="593" spans="4:16" ht="19.5" thickBot="1" x14ac:dyDescent="0.35">
      <c r="D593" s="63" t="s">
        <v>887</v>
      </c>
      <c r="E593" s="63" t="s">
        <v>7</v>
      </c>
      <c r="F593" s="65" t="s">
        <v>888</v>
      </c>
      <c r="G593" s="1"/>
      <c r="H593" s="1"/>
      <c r="I593" s="1"/>
      <c r="J593" s="1"/>
      <c r="K593" s="1"/>
      <c r="L593" s="1"/>
      <c r="M593" s="1"/>
      <c r="N593" s="1"/>
      <c r="O593" s="1"/>
      <c r="P593" s="1"/>
    </row>
    <row r="594" spans="4:16" ht="19.5" thickBot="1" x14ac:dyDescent="0.35">
      <c r="D594" s="63" t="s">
        <v>889</v>
      </c>
      <c r="E594" s="63"/>
      <c r="F594" s="67" t="s">
        <v>890</v>
      </c>
      <c r="G594" s="1"/>
      <c r="H594" s="1"/>
      <c r="I594" s="1"/>
      <c r="J594" s="1"/>
      <c r="K594" s="1"/>
      <c r="L594" s="1"/>
      <c r="M594" s="1"/>
      <c r="N594" s="1"/>
      <c r="O594" s="1"/>
      <c r="P594" s="1"/>
    </row>
    <row r="595" spans="4:16" ht="19.5" thickBot="1" x14ac:dyDescent="0.35">
      <c r="D595" s="63" t="s">
        <v>891</v>
      </c>
      <c r="E595" s="63"/>
      <c r="F595" s="67" t="s">
        <v>892</v>
      </c>
      <c r="G595" s="1"/>
      <c r="H595" s="1"/>
      <c r="I595" s="1"/>
      <c r="J595" s="1"/>
      <c r="K595" s="1"/>
      <c r="L595" s="1"/>
      <c r="M595" s="1"/>
      <c r="N595" s="1"/>
      <c r="O595" s="1"/>
      <c r="P595" s="1"/>
    </row>
    <row r="596" spans="4:16" ht="19.5" thickBot="1" x14ac:dyDescent="0.35">
      <c r="D596" s="69" t="s">
        <v>893</v>
      </c>
      <c r="E596" s="69" t="s">
        <v>16</v>
      </c>
      <c r="F596" s="65" t="s">
        <v>894</v>
      </c>
      <c r="G596" s="1"/>
      <c r="H596" s="1"/>
      <c r="I596" s="1"/>
      <c r="J596" s="1"/>
      <c r="K596" s="1"/>
      <c r="L596" s="1"/>
      <c r="M596" s="1"/>
      <c r="N596" s="1"/>
      <c r="O596" s="1"/>
      <c r="P596" s="1"/>
    </row>
    <row r="597" spans="4:16" ht="19.5" thickBot="1" x14ac:dyDescent="0.35">
      <c r="D597" s="69" t="s">
        <v>895</v>
      </c>
      <c r="E597" s="69" t="s">
        <v>18</v>
      </c>
      <c r="F597" s="65" t="s">
        <v>896</v>
      </c>
      <c r="G597" s="1"/>
      <c r="H597" s="1"/>
      <c r="I597" s="1"/>
      <c r="J597" s="1"/>
      <c r="K597" s="1"/>
      <c r="L597" s="1"/>
      <c r="M597" s="1"/>
      <c r="N597" s="1"/>
      <c r="O597" s="1"/>
      <c r="P597" s="1"/>
    </row>
    <row r="598" spans="4:16" ht="19.5" thickBot="1" x14ac:dyDescent="0.35">
      <c r="D598" s="63" t="s">
        <v>897</v>
      </c>
      <c r="E598" s="63" t="s">
        <v>5</v>
      </c>
      <c r="F598" s="65" t="s">
        <v>898</v>
      </c>
      <c r="G598" s="1"/>
      <c r="H598" s="1"/>
      <c r="I598" s="1"/>
      <c r="J598" s="1"/>
      <c r="K598" s="1"/>
      <c r="L598" s="1"/>
      <c r="M598" s="1"/>
      <c r="N598" s="1"/>
      <c r="O598" s="1"/>
      <c r="P598" s="1"/>
    </row>
    <row r="599" spans="4:16" ht="19.5" thickBot="1" x14ac:dyDescent="0.35">
      <c r="D599" s="69" t="s">
        <v>899</v>
      </c>
      <c r="E599" s="69"/>
      <c r="F599" s="65" t="s">
        <v>900</v>
      </c>
      <c r="G599" s="1"/>
      <c r="H599" s="1"/>
      <c r="I599" s="1"/>
      <c r="J599" s="1"/>
      <c r="K599" s="1"/>
      <c r="L599" s="1"/>
      <c r="M599" s="1"/>
      <c r="N599" s="1"/>
      <c r="O599" s="1"/>
      <c r="P599" s="1"/>
    </row>
    <row r="600" spans="4:16" ht="19.5" thickBot="1" x14ac:dyDescent="0.35">
      <c r="D600" s="69" t="s">
        <v>901</v>
      </c>
      <c r="E600" s="69" t="s">
        <v>477</v>
      </c>
      <c r="F600" s="65" t="s">
        <v>902</v>
      </c>
      <c r="G600" s="1"/>
      <c r="H600" s="1"/>
      <c r="I600" s="1"/>
      <c r="J600" s="1"/>
      <c r="K600" s="1"/>
      <c r="L600" s="1"/>
      <c r="M600" s="1"/>
      <c r="N600" s="1"/>
      <c r="O600" s="1"/>
      <c r="P600" s="1"/>
    </row>
    <row r="601" spans="4:16" ht="19.5" thickBot="1" x14ac:dyDescent="0.35">
      <c r="D601" s="71" t="s">
        <v>903</v>
      </c>
      <c r="E601" s="72" t="s">
        <v>5</v>
      </c>
      <c r="F601" s="65" t="s">
        <v>904</v>
      </c>
      <c r="G601" s="1"/>
      <c r="H601" s="1"/>
      <c r="I601" s="1"/>
      <c r="J601" s="1"/>
      <c r="K601" s="1"/>
      <c r="L601" s="1"/>
      <c r="M601" s="1"/>
      <c r="N601" s="1"/>
      <c r="O601" s="1"/>
      <c r="P601" s="1"/>
    </row>
    <row r="602" spans="4:16" ht="19.5" thickBot="1" x14ac:dyDescent="0.35">
      <c r="D602" s="69" t="s">
        <v>905</v>
      </c>
      <c r="E602" s="69" t="s">
        <v>18</v>
      </c>
      <c r="F602" s="65" t="s">
        <v>906</v>
      </c>
      <c r="G602" s="1"/>
      <c r="H602" s="1"/>
      <c r="I602" s="1"/>
      <c r="J602" s="1"/>
      <c r="K602" s="1"/>
      <c r="L602" s="1"/>
      <c r="M602" s="1"/>
      <c r="N602" s="1"/>
      <c r="O602" s="1"/>
      <c r="P602" s="1"/>
    </row>
    <row r="603" spans="4:16" ht="19.5" thickBot="1" x14ac:dyDescent="0.35">
      <c r="D603" s="63" t="s">
        <v>907</v>
      </c>
      <c r="E603" s="63" t="s">
        <v>11</v>
      </c>
      <c r="F603" s="65" t="s">
        <v>908</v>
      </c>
      <c r="G603" s="1"/>
      <c r="H603" s="1"/>
      <c r="I603" s="1"/>
      <c r="J603" s="1"/>
      <c r="K603" s="1"/>
      <c r="L603" s="1"/>
      <c r="M603" s="1"/>
      <c r="N603" s="1"/>
      <c r="O603" s="1"/>
      <c r="P603" s="1"/>
    </row>
    <row r="604" spans="4:16" ht="19.5" thickBot="1" x14ac:dyDescent="0.35">
      <c r="D604" s="69" t="s">
        <v>909</v>
      </c>
      <c r="E604" s="69" t="s">
        <v>477</v>
      </c>
      <c r="F604" s="65" t="s">
        <v>910</v>
      </c>
      <c r="G604" s="1"/>
      <c r="H604" s="1"/>
      <c r="I604" s="1"/>
      <c r="J604" s="1"/>
      <c r="K604" s="1"/>
      <c r="L604" s="1"/>
      <c r="M604" s="1"/>
      <c r="N604" s="1"/>
      <c r="O604" s="1"/>
      <c r="P604" s="1"/>
    </row>
    <row r="605" spans="4:16" ht="19.5" thickBot="1" x14ac:dyDescent="0.35">
      <c r="D605" s="69" t="s">
        <v>911</v>
      </c>
      <c r="E605" s="69" t="s">
        <v>18</v>
      </c>
      <c r="F605" s="65" t="s">
        <v>912</v>
      </c>
      <c r="G605" s="1"/>
      <c r="H605" s="1"/>
      <c r="I605" s="1"/>
      <c r="J605" s="1"/>
      <c r="K605" s="1"/>
      <c r="L605" s="1"/>
      <c r="M605" s="1"/>
      <c r="N605" s="1"/>
      <c r="O605" s="1"/>
      <c r="P605" s="1"/>
    </row>
    <row r="606" spans="4:16" ht="19.5" thickBot="1" x14ac:dyDescent="0.35">
      <c r="D606" s="71" t="s">
        <v>913</v>
      </c>
      <c r="E606" s="72" t="s">
        <v>5</v>
      </c>
      <c r="F606" s="65" t="s">
        <v>914</v>
      </c>
      <c r="G606" s="1"/>
      <c r="H606" s="1"/>
      <c r="I606" s="1"/>
      <c r="J606" s="1"/>
      <c r="K606" s="1"/>
      <c r="L606" s="1"/>
      <c r="M606" s="1"/>
      <c r="N606" s="1"/>
      <c r="O606" s="1"/>
      <c r="P606" s="1"/>
    </row>
    <row r="607" spans="4:16" ht="19.5" thickBot="1" x14ac:dyDescent="0.35">
      <c r="D607" s="63" t="s">
        <v>915</v>
      </c>
      <c r="E607" s="63" t="s">
        <v>455</v>
      </c>
      <c r="F607" s="67" t="s">
        <v>916</v>
      </c>
      <c r="G607" s="1"/>
      <c r="H607" s="1"/>
      <c r="I607" s="1"/>
      <c r="J607" s="1"/>
      <c r="K607" s="1"/>
      <c r="L607" s="1"/>
      <c r="M607" s="1"/>
      <c r="N607" s="1"/>
      <c r="O607" s="1"/>
      <c r="P607" s="1"/>
    </row>
    <row r="608" spans="4:16" ht="19.5" thickBot="1" x14ac:dyDescent="0.35">
      <c r="D608" s="63" t="s">
        <v>452</v>
      </c>
      <c r="E608" s="63" t="s">
        <v>11</v>
      </c>
      <c r="F608" s="26" t="s">
        <v>453</v>
      </c>
      <c r="G608" s="1"/>
      <c r="H608" s="1"/>
      <c r="I608" s="1"/>
      <c r="J608" s="1"/>
      <c r="K608" s="1"/>
      <c r="L608" s="1"/>
      <c r="M608" s="1"/>
      <c r="N608" s="1"/>
      <c r="O608" s="1"/>
      <c r="P608" s="1"/>
    </row>
    <row r="609" spans="4:16" ht="18.75" x14ac:dyDescent="0.3">
      <c r="D609" s="63" t="s">
        <v>917</v>
      </c>
      <c r="E609" s="63"/>
      <c r="F609" s="72" t="s">
        <v>918</v>
      </c>
      <c r="G609" s="1"/>
      <c r="H609" s="1"/>
      <c r="I609" s="1"/>
      <c r="J609" s="1"/>
      <c r="K609" s="1"/>
      <c r="L609" s="1"/>
      <c r="M609" s="1"/>
      <c r="N609" s="1"/>
      <c r="O609" s="1"/>
      <c r="P609" s="1"/>
    </row>
    <row r="610" spans="4:16" ht="18.75" x14ac:dyDescent="0.3">
      <c r="D610" s="63" t="s">
        <v>919</v>
      </c>
      <c r="E610" s="63" t="s">
        <v>7</v>
      </c>
      <c r="F610" s="72" t="s">
        <v>920</v>
      </c>
      <c r="G610" s="1"/>
      <c r="H610" s="1"/>
      <c r="I610" s="1"/>
      <c r="J610" s="1"/>
      <c r="K610" s="1"/>
      <c r="L610" s="1"/>
      <c r="M610" s="1"/>
      <c r="N610" s="1"/>
      <c r="O610" s="1"/>
      <c r="P610" s="1"/>
    </row>
    <row r="611" spans="4:16" ht="18.75" x14ac:dyDescent="0.3">
      <c r="D611" s="69" t="s">
        <v>921</v>
      </c>
      <c r="E611" s="69" t="s">
        <v>11</v>
      </c>
      <c r="F611" s="72" t="s">
        <v>922</v>
      </c>
      <c r="G611" s="1"/>
      <c r="H611" s="1"/>
      <c r="I611" s="1"/>
      <c r="J611" s="1"/>
      <c r="K611" s="1"/>
      <c r="L611" s="1"/>
      <c r="M611" s="1"/>
      <c r="N611" s="1"/>
      <c r="O611" s="1"/>
      <c r="P611" s="1"/>
    </row>
    <row r="612" spans="4:16" ht="18.75" x14ac:dyDescent="0.3">
      <c r="D612" s="69" t="s">
        <v>923</v>
      </c>
      <c r="E612" s="69" t="s">
        <v>7</v>
      </c>
      <c r="F612" s="72" t="s">
        <v>924</v>
      </c>
      <c r="G612" s="1"/>
      <c r="H612" s="1"/>
      <c r="I612" s="1"/>
      <c r="J612" s="1"/>
      <c r="K612" s="1"/>
      <c r="L612" s="1"/>
      <c r="M612" s="1"/>
      <c r="N612" s="1"/>
      <c r="O612" s="1"/>
      <c r="P612" s="1"/>
    </row>
    <row r="613" spans="4:16" ht="18.75" x14ac:dyDescent="0.3">
      <c r="D613" s="63" t="s">
        <v>925</v>
      </c>
      <c r="E613" s="63"/>
      <c r="F613" s="72" t="s">
        <v>926</v>
      </c>
      <c r="G613" s="1"/>
      <c r="H613" s="1"/>
      <c r="I613" s="1"/>
      <c r="J613" s="1"/>
      <c r="K613" s="1"/>
      <c r="L613" s="1"/>
      <c r="M613" s="1"/>
      <c r="N613" s="1"/>
      <c r="O613" s="1"/>
      <c r="P613" s="1"/>
    </row>
    <row r="614" spans="4:16" ht="18.75" x14ac:dyDescent="0.3">
      <c r="D614" s="63" t="s">
        <v>927</v>
      </c>
      <c r="E614" s="63" t="s">
        <v>576</v>
      </c>
      <c r="F614" s="72" t="s">
        <v>928</v>
      </c>
      <c r="G614" s="1"/>
      <c r="H614" s="1"/>
      <c r="I614" s="1"/>
      <c r="J614" s="1"/>
      <c r="K614" s="1"/>
      <c r="L614" s="1"/>
      <c r="M614" s="1"/>
      <c r="N614" s="1"/>
      <c r="O614" s="1"/>
      <c r="P614" s="1"/>
    </row>
    <row r="615" spans="4:16" ht="18.75" x14ac:dyDescent="0.3">
      <c r="D615" s="63" t="s">
        <v>929</v>
      </c>
      <c r="E615" s="63"/>
      <c r="F615" s="72" t="s">
        <v>930</v>
      </c>
      <c r="G615" s="1"/>
      <c r="H615" s="1"/>
      <c r="I615" s="1"/>
      <c r="J615" s="1"/>
      <c r="K615" s="1"/>
      <c r="L615" s="1"/>
      <c r="M615" s="1"/>
      <c r="N615" s="1"/>
      <c r="O615" s="1"/>
      <c r="P615" s="1"/>
    </row>
    <row r="616" spans="4:16" ht="18.75" x14ac:dyDescent="0.3">
      <c r="D616" s="63" t="s">
        <v>931</v>
      </c>
      <c r="E616" s="63" t="s">
        <v>515</v>
      </c>
      <c r="F616" s="72" t="s">
        <v>932</v>
      </c>
      <c r="G616" s="1"/>
      <c r="H616" s="1"/>
      <c r="I616" s="1"/>
      <c r="J616" s="1"/>
      <c r="K616" s="1"/>
      <c r="L616" s="1"/>
      <c r="M616" s="1"/>
      <c r="N616" s="1"/>
      <c r="O616" s="1"/>
      <c r="P616" s="1"/>
    </row>
    <row r="617" spans="4:16" ht="18.75" x14ac:dyDescent="0.3">
      <c r="D617" s="69" t="s">
        <v>933</v>
      </c>
      <c r="E617" s="69" t="s">
        <v>455</v>
      </c>
      <c r="F617" s="72" t="s">
        <v>934</v>
      </c>
      <c r="G617" s="1"/>
      <c r="H617" s="1"/>
      <c r="I617" s="1"/>
      <c r="J617" s="1"/>
      <c r="K617" s="1"/>
      <c r="L617" s="1"/>
      <c r="M617" s="1"/>
      <c r="N617" s="1"/>
      <c r="O617" s="1"/>
      <c r="P617" s="1"/>
    </row>
    <row r="618" spans="4:16" ht="18.75" x14ac:dyDescent="0.3">
      <c r="D618" s="63" t="s">
        <v>935</v>
      </c>
      <c r="E618" s="63"/>
      <c r="F618" s="72" t="s">
        <v>936</v>
      </c>
      <c r="G618" s="1"/>
      <c r="H618" s="1"/>
      <c r="I618" s="1"/>
      <c r="J618" s="1"/>
      <c r="K618" s="1"/>
      <c r="L618" s="1"/>
      <c r="M618" s="1"/>
      <c r="N618" s="1"/>
      <c r="O618" s="1"/>
      <c r="P618" s="1"/>
    </row>
    <row r="619" spans="4:16" ht="18.75" x14ac:dyDescent="0.3">
      <c r="D619" s="69" t="s">
        <v>937</v>
      </c>
      <c r="E619" s="69" t="s">
        <v>7</v>
      </c>
      <c r="F619" s="72" t="s">
        <v>938</v>
      </c>
      <c r="G619" s="1"/>
      <c r="H619" s="1"/>
      <c r="I619" s="1"/>
      <c r="J619" s="1"/>
      <c r="K619" s="1"/>
      <c r="L619" s="1"/>
      <c r="M619" s="1"/>
      <c r="N619" s="1"/>
      <c r="O619" s="1"/>
      <c r="P619" s="1"/>
    </row>
    <row r="620" spans="4:16" ht="18.75" x14ac:dyDescent="0.3">
      <c r="D620" s="63" t="s">
        <v>939</v>
      </c>
      <c r="E620" s="63" t="s">
        <v>515</v>
      </c>
      <c r="F620" s="72" t="s">
        <v>940</v>
      </c>
      <c r="G620" s="1"/>
      <c r="H620" s="1"/>
      <c r="I620" s="1"/>
      <c r="J620" s="1"/>
      <c r="K620" s="1"/>
      <c r="L620" s="1"/>
      <c r="M620" s="1"/>
      <c r="N620" s="1"/>
      <c r="O620" s="1"/>
      <c r="P620" s="1"/>
    </row>
    <row r="621" spans="4:16" ht="18.75" x14ac:dyDescent="0.3">
      <c r="D621" s="63" t="s">
        <v>941</v>
      </c>
      <c r="E621" s="63" t="s">
        <v>515</v>
      </c>
      <c r="F621" s="72" t="s">
        <v>942</v>
      </c>
      <c r="G621" s="1"/>
      <c r="H621" s="1"/>
      <c r="I621" s="1"/>
      <c r="J621" s="1"/>
      <c r="K621" s="1"/>
      <c r="L621" s="1"/>
      <c r="M621" s="1"/>
      <c r="N621" s="1"/>
      <c r="O621" s="1"/>
      <c r="P621" s="1"/>
    </row>
    <row r="622" spans="4:16" ht="18.75" x14ac:dyDescent="0.3">
      <c r="D622" s="69" t="s">
        <v>943</v>
      </c>
      <c r="E622" s="69" t="s">
        <v>548</v>
      </c>
      <c r="F622" s="72" t="s">
        <v>944</v>
      </c>
      <c r="G622" s="1"/>
      <c r="H622" s="1"/>
      <c r="I622" s="1"/>
      <c r="J622" s="1"/>
      <c r="K622" s="1"/>
      <c r="L622" s="1"/>
      <c r="M622" s="1"/>
      <c r="N622" s="1"/>
      <c r="O622" s="1"/>
      <c r="P622" s="1"/>
    </row>
    <row r="623" spans="4:16" ht="18.75" x14ac:dyDescent="0.3">
      <c r="D623" s="63" t="s">
        <v>945</v>
      </c>
      <c r="E623" s="63" t="s">
        <v>492</v>
      </c>
      <c r="F623" s="72" t="s">
        <v>946</v>
      </c>
      <c r="G623" s="1"/>
      <c r="H623" s="1"/>
      <c r="I623" s="1"/>
      <c r="J623" s="1"/>
      <c r="K623" s="1"/>
      <c r="L623" s="1"/>
      <c r="M623" s="1"/>
      <c r="N623" s="1"/>
      <c r="O623" s="1"/>
      <c r="P623" s="1"/>
    </row>
    <row r="624" spans="4:16" ht="18.75" x14ac:dyDescent="0.3">
      <c r="D624" s="63" t="s">
        <v>947</v>
      </c>
      <c r="E624" s="63" t="s">
        <v>455</v>
      </c>
      <c r="F624" s="72" t="s">
        <v>948</v>
      </c>
      <c r="G624" s="1"/>
      <c r="H624" s="1"/>
      <c r="I624" s="1"/>
      <c r="J624" s="1"/>
      <c r="K624" s="1"/>
      <c r="L624" s="1"/>
      <c r="M624" s="1"/>
      <c r="N624" s="1"/>
      <c r="O624" s="1"/>
      <c r="P624" s="1"/>
    </row>
    <row r="625" spans="4:16" ht="18.75" x14ac:dyDescent="0.3">
      <c r="D625" s="63" t="s">
        <v>949</v>
      </c>
      <c r="E625" s="63" t="s">
        <v>950</v>
      </c>
      <c r="F625" s="72" t="s">
        <v>951</v>
      </c>
      <c r="G625" s="1"/>
      <c r="H625" s="1"/>
      <c r="I625" s="1"/>
      <c r="J625" s="1"/>
      <c r="K625" s="1"/>
      <c r="L625" s="1"/>
      <c r="M625" s="1"/>
      <c r="N625" s="1"/>
      <c r="O625" s="1"/>
      <c r="P625" s="1"/>
    </row>
    <row r="626" spans="4:16" ht="18.75" x14ac:dyDescent="0.3">
      <c r="D626" s="63" t="s">
        <v>952</v>
      </c>
      <c r="E626" s="63" t="s">
        <v>515</v>
      </c>
      <c r="F626" s="72" t="s">
        <v>953</v>
      </c>
      <c r="G626" s="1"/>
      <c r="H626" s="1"/>
      <c r="I626" s="1"/>
      <c r="J626" s="1"/>
      <c r="K626" s="1"/>
      <c r="L626" s="1"/>
      <c r="M626" s="1"/>
      <c r="N626" s="1"/>
      <c r="O626" s="1"/>
      <c r="P626" s="1"/>
    </row>
    <row r="627" spans="4:16" ht="18.75" x14ac:dyDescent="0.3">
      <c r="D627" s="63" t="s">
        <v>954</v>
      </c>
      <c r="E627" s="63" t="s">
        <v>515</v>
      </c>
      <c r="F627" s="72" t="s">
        <v>955</v>
      </c>
      <c r="G627" s="1"/>
      <c r="H627" s="1"/>
      <c r="I627" s="1"/>
      <c r="J627" s="1"/>
      <c r="K627" s="1"/>
      <c r="L627" s="1"/>
      <c r="M627" s="1"/>
      <c r="N627" s="1"/>
      <c r="O627" s="1"/>
      <c r="P627" s="1"/>
    </row>
    <row r="628" spans="4:16" ht="18.75" x14ac:dyDescent="0.3">
      <c r="D628" s="63" t="s">
        <v>956</v>
      </c>
      <c r="E628" s="63" t="s">
        <v>7</v>
      </c>
      <c r="F628" s="72" t="s">
        <v>957</v>
      </c>
      <c r="G628" s="1"/>
      <c r="H628" s="1"/>
      <c r="I628" s="1"/>
      <c r="J628" s="1"/>
      <c r="K628" s="1"/>
      <c r="L628" s="1"/>
      <c r="M628" s="1"/>
      <c r="N628" s="1"/>
      <c r="O628" s="1"/>
      <c r="P628" s="1"/>
    </row>
    <row r="629" spans="4:16" ht="18.75" x14ac:dyDescent="0.3">
      <c r="D629" s="69" t="s">
        <v>958</v>
      </c>
      <c r="E629" s="69" t="s">
        <v>31</v>
      </c>
      <c r="F629" s="72" t="s">
        <v>959</v>
      </c>
      <c r="G629" s="1"/>
      <c r="H629" s="1"/>
      <c r="I629" s="1"/>
      <c r="J629" s="1"/>
      <c r="K629" s="1"/>
      <c r="L629" s="1"/>
      <c r="M629" s="1"/>
      <c r="N629" s="1"/>
      <c r="O629" s="1"/>
      <c r="P629" s="1"/>
    </row>
    <row r="630" spans="4:16" ht="18.75" x14ac:dyDescent="0.3">
      <c r="D630" s="63" t="s">
        <v>960</v>
      </c>
      <c r="E630" s="63" t="s">
        <v>11</v>
      </c>
      <c r="F630" s="72" t="s">
        <v>961</v>
      </c>
      <c r="G630" s="1"/>
      <c r="H630" s="1"/>
      <c r="I630" s="1"/>
      <c r="J630" s="1"/>
      <c r="K630" s="1"/>
      <c r="L630" s="1"/>
      <c r="M630" s="1"/>
      <c r="N630" s="1"/>
      <c r="O630" s="1"/>
      <c r="P630" s="1"/>
    </row>
    <row r="631" spans="4:16" ht="18.75" x14ac:dyDescent="0.3">
      <c r="D631" s="69" t="s">
        <v>962</v>
      </c>
      <c r="E631" s="69" t="s">
        <v>548</v>
      </c>
      <c r="F631" s="72" t="s">
        <v>963</v>
      </c>
      <c r="G631" s="1"/>
      <c r="H631" s="1"/>
      <c r="I631" s="1"/>
      <c r="J631" s="1"/>
      <c r="K631" s="1"/>
      <c r="L631" s="1"/>
      <c r="M631" s="1"/>
      <c r="N631" s="1"/>
      <c r="O631" s="1"/>
      <c r="P631" s="1"/>
    </row>
    <row r="632" spans="4:16" ht="18.75" x14ac:dyDescent="0.3">
      <c r="D632" s="63" t="s">
        <v>964</v>
      </c>
      <c r="E632" s="63" t="s">
        <v>515</v>
      </c>
      <c r="F632" s="72" t="s">
        <v>965</v>
      </c>
      <c r="G632" s="1"/>
      <c r="H632" s="1"/>
      <c r="I632" s="1"/>
      <c r="J632" s="1"/>
      <c r="K632" s="1"/>
      <c r="L632" s="1"/>
      <c r="M632" s="1"/>
      <c r="N632" s="1"/>
      <c r="O632" s="1"/>
      <c r="P632" s="1"/>
    </row>
    <row r="633" spans="4:16" ht="18.75" x14ac:dyDescent="0.3">
      <c r="D633" s="69" t="s">
        <v>966</v>
      </c>
      <c r="E633" s="69" t="s">
        <v>18</v>
      </c>
      <c r="F633" s="72" t="s">
        <v>967</v>
      </c>
      <c r="G633" s="1"/>
      <c r="H633" s="1"/>
      <c r="I633" s="1"/>
      <c r="J633" s="1"/>
      <c r="K633" s="1"/>
      <c r="L633" s="1"/>
      <c r="M633" s="1"/>
      <c r="N633" s="1"/>
      <c r="O633" s="1"/>
      <c r="P633" s="1"/>
    </row>
    <row r="634" spans="4:16" ht="18.75" x14ac:dyDescent="0.3">
      <c r="D634" s="63" t="s">
        <v>968</v>
      </c>
      <c r="E634" s="63"/>
      <c r="F634" s="72" t="s">
        <v>969</v>
      </c>
      <c r="G634" s="1"/>
      <c r="H634" s="1"/>
      <c r="I634" s="1"/>
      <c r="J634" s="1"/>
      <c r="K634" s="1"/>
      <c r="L634" s="1"/>
      <c r="M634" s="1"/>
      <c r="N634" s="1"/>
      <c r="O634" s="1"/>
      <c r="P634" s="1"/>
    </row>
    <row r="635" spans="4:16" ht="18.75" x14ac:dyDescent="0.3">
      <c r="D635" s="63" t="s">
        <v>970</v>
      </c>
      <c r="E635" s="63" t="s">
        <v>455</v>
      </c>
      <c r="F635" s="72" t="s">
        <v>971</v>
      </c>
      <c r="G635" s="1"/>
      <c r="H635" s="1"/>
      <c r="I635" s="1"/>
      <c r="J635" s="1"/>
      <c r="K635" s="1"/>
      <c r="L635" s="1"/>
      <c r="M635" s="1"/>
      <c r="N635" s="1"/>
      <c r="O635" s="1"/>
      <c r="P635" s="1"/>
    </row>
    <row r="636" spans="4:16" ht="18.75" x14ac:dyDescent="0.3">
      <c r="D636" s="63" t="s">
        <v>972</v>
      </c>
      <c r="E636" s="63" t="s">
        <v>515</v>
      </c>
      <c r="F636" s="72" t="s">
        <v>973</v>
      </c>
      <c r="G636" s="1"/>
      <c r="H636" s="1"/>
      <c r="I636" s="1"/>
      <c r="J636" s="1"/>
      <c r="K636" s="1"/>
      <c r="L636" s="1"/>
      <c r="M636" s="1"/>
      <c r="N636" s="1"/>
      <c r="O636" s="1"/>
      <c r="P636" s="1"/>
    </row>
    <row r="637" spans="4:16" ht="18.75" x14ac:dyDescent="0.3">
      <c r="D637" s="73" t="s">
        <v>974</v>
      </c>
      <c r="E637" s="73" t="s">
        <v>31</v>
      </c>
      <c r="F637" s="72" t="s">
        <v>975</v>
      </c>
      <c r="G637" s="1"/>
      <c r="H637" s="1"/>
      <c r="I637" s="1"/>
      <c r="J637" s="1"/>
      <c r="K637" s="1"/>
      <c r="L637" s="1"/>
      <c r="M637" s="1"/>
      <c r="N637" s="1"/>
      <c r="O637" s="1"/>
      <c r="P637" s="1"/>
    </row>
    <row r="638" spans="4:16" ht="18.75" x14ac:dyDescent="0.3">
      <c r="D638" s="63" t="s">
        <v>976</v>
      </c>
      <c r="E638" s="63" t="s">
        <v>455</v>
      </c>
      <c r="F638" s="72" t="s">
        <v>977</v>
      </c>
      <c r="G638" s="1"/>
      <c r="H638" s="1"/>
      <c r="I638" s="1"/>
      <c r="J638" s="1"/>
      <c r="K638" s="1"/>
      <c r="L638" s="1"/>
      <c r="M638" s="1"/>
      <c r="N638" s="1"/>
      <c r="O638" s="1"/>
      <c r="P638" s="1"/>
    </row>
    <row r="639" spans="4:16" ht="18.75" x14ac:dyDescent="0.3">
      <c r="D639" s="69" t="s">
        <v>978</v>
      </c>
      <c r="E639" s="69" t="s">
        <v>18</v>
      </c>
      <c r="F639" s="72" t="s">
        <v>979</v>
      </c>
      <c r="G639" s="1"/>
      <c r="H639" s="1"/>
      <c r="I639" s="1"/>
      <c r="J639" s="1"/>
      <c r="K639" s="1"/>
      <c r="L639" s="1"/>
      <c r="M639" s="1"/>
      <c r="N639" s="1"/>
      <c r="O639" s="1"/>
      <c r="P639" s="1"/>
    </row>
    <row r="640" spans="4:16" ht="18.75" x14ac:dyDescent="0.3">
      <c r="D640" s="69" t="s">
        <v>980</v>
      </c>
      <c r="E640" s="69" t="s">
        <v>31</v>
      </c>
      <c r="F640" s="72" t="s">
        <v>981</v>
      </c>
      <c r="G640" s="1"/>
      <c r="H640" s="1"/>
      <c r="I640" s="1"/>
      <c r="J640" s="1"/>
      <c r="K640" s="1"/>
      <c r="L640" s="1"/>
      <c r="M640" s="1"/>
      <c r="N640" s="1"/>
      <c r="O640" s="1"/>
      <c r="P640" s="1"/>
    </row>
    <row r="641" spans="4:16" ht="18.75" x14ac:dyDescent="0.3">
      <c r="D641" s="63" t="s">
        <v>982</v>
      </c>
      <c r="E641" s="63" t="s">
        <v>455</v>
      </c>
      <c r="F641" s="72" t="s">
        <v>983</v>
      </c>
      <c r="G641" s="1"/>
      <c r="H641" s="1"/>
      <c r="I641" s="1"/>
      <c r="J641" s="1"/>
      <c r="K641" s="1"/>
      <c r="L641" s="1"/>
      <c r="M641" s="1"/>
      <c r="N641" s="1"/>
      <c r="O641" s="1"/>
      <c r="P641" s="1"/>
    </row>
    <row r="642" spans="4:16" ht="18.75" x14ac:dyDescent="0.3">
      <c r="D642" s="63" t="s">
        <v>984</v>
      </c>
      <c r="E642" s="63" t="s">
        <v>480</v>
      </c>
      <c r="F642" s="72" t="s">
        <v>985</v>
      </c>
      <c r="G642" s="1"/>
      <c r="H642" s="1"/>
      <c r="I642" s="1"/>
      <c r="J642" s="1"/>
      <c r="K642" s="1"/>
      <c r="L642" s="1"/>
      <c r="M642" s="1"/>
      <c r="N642" s="1"/>
      <c r="O642" s="1"/>
      <c r="P642" s="1"/>
    </row>
    <row r="643" spans="4:16" ht="18.75" x14ac:dyDescent="0.3">
      <c r="D643" s="69" t="s">
        <v>988</v>
      </c>
      <c r="E643" s="69"/>
      <c r="F643" s="72" t="s">
        <v>989</v>
      </c>
      <c r="G643" s="1"/>
      <c r="H643" s="1"/>
      <c r="I643" s="1"/>
      <c r="J643" s="1"/>
      <c r="K643" s="1"/>
      <c r="L643" s="1"/>
      <c r="M643" s="1"/>
      <c r="N643" s="1"/>
      <c r="O643" s="1"/>
      <c r="P643" s="1"/>
    </row>
    <row r="644" spans="4:16" ht="18.75" x14ac:dyDescent="0.3">
      <c r="D644" s="69" t="s">
        <v>990</v>
      </c>
      <c r="E644" s="69" t="s">
        <v>492</v>
      </c>
      <c r="F644" s="72" t="s">
        <v>991</v>
      </c>
      <c r="G644" s="1"/>
      <c r="H644" s="1"/>
      <c r="I644" s="1"/>
      <c r="J644" s="1"/>
      <c r="K644" s="1"/>
      <c r="L644" s="1"/>
      <c r="M644" s="1"/>
      <c r="N644" s="1"/>
      <c r="O644" s="1"/>
      <c r="P644" s="1"/>
    </row>
    <row r="645" spans="4:16" ht="18.75" x14ac:dyDescent="0.3">
      <c r="D645" s="63" t="s">
        <v>992</v>
      </c>
      <c r="E645" s="63" t="s">
        <v>455</v>
      </c>
      <c r="F645" s="72" t="s">
        <v>993</v>
      </c>
      <c r="G645" s="1"/>
      <c r="H645" s="1"/>
      <c r="I645" s="1"/>
      <c r="J645" s="1"/>
      <c r="K645" s="1"/>
      <c r="L645" s="1"/>
      <c r="M645" s="1"/>
      <c r="N645" s="1"/>
      <c r="O645" s="1"/>
      <c r="P645" s="1"/>
    </row>
    <row r="646" spans="4:16" ht="18.75" x14ac:dyDescent="0.3">
      <c r="D646" s="63" t="s">
        <v>994</v>
      </c>
      <c r="E646" s="63" t="s">
        <v>11</v>
      </c>
      <c r="F646" s="72" t="s">
        <v>995</v>
      </c>
      <c r="G646" s="1"/>
      <c r="H646" s="1"/>
      <c r="I646" s="1"/>
      <c r="J646" s="1"/>
      <c r="K646" s="1"/>
      <c r="L646" s="1"/>
      <c r="M646" s="1"/>
      <c r="N646" s="1"/>
      <c r="O646" s="1"/>
      <c r="P646" s="1"/>
    </row>
    <row r="647" spans="4:16" ht="18.75" x14ac:dyDescent="0.3">
      <c r="D647" s="63" t="s">
        <v>996</v>
      </c>
      <c r="E647" s="63" t="s">
        <v>480</v>
      </c>
      <c r="F647" s="72" t="s">
        <v>997</v>
      </c>
      <c r="G647" s="1"/>
      <c r="H647" s="1"/>
      <c r="I647" s="1"/>
      <c r="J647" s="1"/>
      <c r="K647" s="1"/>
      <c r="L647" s="1"/>
      <c r="M647" s="1"/>
      <c r="N647" s="1"/>
      <c r="O647" s="1"/>
      <c r="P647" s="1"/>
    </row>
    <row r="648" spans="4:16" ht="18.75" x14ac:dyDescent="0.3">
      <c r="D648" s="63" t="s">
        <v>998</v>
      </c>
      <c r="E648" s="63" t="s">
        <v>5</v>
      </c>
      <c r="F648" s="72" t="s">
        <v>999</v>
      </c>
      <c r="G648" s="1"/>
      <c r="H648" s="1"/>
      <c r="I648" s="1"/>
      <c r="J648" s="1"/>
      <c r="K648" s="1"/>
      <c r="L648" s="1"/>
      <c r="M648" s="1"/>
      <c r="N648" s="1"/>
      <c r="O648" s="1"/>
      <c r="P648" s="1"/>
    </row>
    <row r="649" spans="4:16" ht="18.75" x14ac:dyDescent="0.3">
      <c r="D649" s="63" t="s">
        <v>1000</v>
      </c>
      <c r="E649" s="63" t="s">
        <v>463</v>
      </c>
      <c r="F649" s="72" t="s">
        <v>1001</v>
      </c>
      <c r="G649" s="1"/>
      <c r="H649" s="1"/>
      <c r="I649" s="1"/>
      <c r="J649" s="1"/>
      <c r="K649" s="1"/>
      <c r="L649" s="1"/>
      <c r="M649" s="1"/>
      <c r="N649" s="1"/>
      <c r="O649" s="1"/>
      <c r="P649" s="1"/>
    </row>
    <row r="650" spans="4:16" ht="18.75" x14ac:dyDescent="0.3">
      <c r="D650" s="63" t="s">
        <v>1002</v>
      </c>
      <c r="E650" s="63" t="s">
        <v>480</v>
      </c>
      <c r="F650" s="72" t="s">
        <v>1003</v>
      </c>
      <c r="G650" s="1"/>
      <c r="H650" s="1"/>
      <c r="I650" s="1"/>
      <c r="J650" s="1"/>
      <c r="K650" s="1"/>
      <c r="L650" s="1"/>
      <c r="M650" s="1"/>
      <c r="N650" s="1"/>
      <c r="O650" s="1"/>
      <c r="P650" s="1"/>
    </row>
    <row r="651" spans="4:16" ht="18.75" x14ac:dyDescent="0.3">
      <c r="D651" s="63" t="s">
        <v>1004</v>
      </c>
      <c r="E651" s="63" t="s">
        <v>492</v>
      </c>
      <c r="F651" s="72" t="s">
        <v>1005</v>
      </c>
      <c r="G651" s="1"/>
      <c r="H651" s="1"/>
      <c r="I651" s="1"/>
      <c r="J651" s="1"/>
      <c r="K651" s="1"/>
      <c r="L651" s="1"/>
      <c r="M651" s="1"/>
      <c r="N651" s="1"/>
      <c r="O651" s="1"/>
      <c r="P651" s="1"/>
    </row>
    <row r="652" spans="4:16" ht="18.75" x14ac:dyDescent="0.3">
      <c r="D652" s="63" t="s">
        <v>1006</v>
      </c>
      <c r="E652" s="63"/>
      <c r="F652" s="72" t="s">
        <v>1007</v>
      </c>
      <c r="G652" s="1"/>
      <c r="H652" s="1"/>
      <c r="I652" s="1"/>
      <c r="J652" s="1"/>
      <c r="K652" s="1"/>
      <c r="L652" s="1"/>
      <c r="M652" s="1"/>
      <c r="N652" s="1"/>
      <c r="O652" s="1"/>
      <c r="P652" s="1"/>
    </row>
    <row r="653" spans="4:16" ht="18.75" x14ac:dyDescent="0.3">
      <c r="D653" s="63" t="s">
        <v>1008</v>
      </c>
      <c r="E653" s="63" t="s">
        <v>7</v>
      </c>
      <c r="F653" s="72" t="s">
        <v>1009</v>
      </c>
      <c r="G653" s="1"/>
      <c r="H653" s="1"/>
      <c r="I653" s="1"/>
      <c r="J653" s="1"/>
      <c r="K653" s="1"/>
      <c r="L653" s="1"/>
      <c r="M653" s="1"/>
      <c r="N653" s="1"/>
      <c r="O653" s="1"/>
      <c r="P653" s="1"/>
    </row>
    <row r="654" spans="4:16" ht="18.75" x14ac:dyDescent="0.3">
      <c r="D654" s="63" t="s">
        <v>1012</v>
      </c>
      <c r="E654" s="63" t="s">
        <v>7</v>
      </c>
      <c r="F654" s="72" t="s">
        <v>1013</v>
      </c>
      <c r="G654" s="1"/>
      <c r="H654" s="1"/>
      <c r="I654" s="1"/>
      <c r="J654" s="1"/>
      <c r="K654" s="1"/>
      <c r="L654" s="1"/>
      <c r="M654" s="1"/>
      <c r="N654" s="1"/>
      <c r="O654" s="1"/>
      <c r="P654" s="1"/>
    </row>
    <row r="655" spans="4:16" ht="18.75" x14ac:dyDescent="0.3">
      <c r="D655" s="63" t="s">
        <v>1014</v>
      </c>
      <c r="E655" s="63" t="s">
        <v>455</v>
      </c>
      <c r="F655" s="72" t="s">
        <v>1015</v>
      </c>
      <c r="G655" s="1"/>
      <c r="H655" s="1"/>
      <c r="I655" s="1"/>
      <c r="J655" s="1"/>
      <c r="K655" s="1"/>
      <c r="L655" s="1"/>
      <c r="M655" s="1"/>
      <c r="N655" s="1"/>
      <c r="O655" s="1"/>
      <c r="P655" s="1"/>
    </row>
    <row r="656" spans="4:16" ht="18.75" x14ac:dyDescent="0.3">
      <c r="D656" s="63" t="s">
        <v>1016</v>
      </c>
      <c r="E656" s="63"/>
      <c r="F656" s="72" t="s">
        <v>1017</v>
      </c>
      <c r="G656" s="1"/>
      <c r="H656" s="1"/>
      <c r="I656" s="1"/>
      <c r="J656" s="1"/>
      <c r="K656" s="1"/>
      <c r="L656" s="1"/>
      <c r="M656" s="1"/>
      <c r="N656" s="1"/>
      <c r="O656" s="1"/>
      <c r="P656" s="1"/>
    </row>
    <row r="657" spans="4:16" ht="18.75" x14ac:dyDescent="0.3">
      <c r="D657" s="63" t="s">
        <v>1018</v>
      </c>
      <c r="E657" s="63" t="s">
        <v>480</v>
      </c>
      <c r="F657" s="72" t="s">
        <v>1019</v>
      </c>
      <c r="G657" s="1"/>
      <c r="H657" s="1"/>
      <c r="I657" s="1"/>
      <c r="J657" s="1"/>
      <c r="K657" s="1"/>
      <c r="L657" s="1"/>
      <c r="M657" s="1"/>
      <c r="N657" s="1"/>
      <c r="O657" s="1"/>
      <c r="P657" s="1"/>
    </row>
    <row r="658" spans="4:16" ht="18.75" x14ac:dyDescent="0.3">
      <c r="D658" s="63" t="s">
        <v>1020</v>
      </c>
      <c r="E658" s="63" t="s">
        <v>7</v>
      </c>
      <c r="F658" s="72" t="s">
        <v>1021</v>
      </c>
      <c r="G658" s="1"/>
      <c r="H658" s="1"/>
      <c r="I658" s="1"/>
      <c r="J658" s="1"/>
      <c r="K658" s="1"/>
      <c r="L658" s="1"/>
      <c r="M658" s="1"/>
      <c r="N658" s="1"/>
      <c r="O658" s="1"/>
      <c r="P658" s="1"/>
    </row>
    <row r="659" spans="4:16" ht="18.75" x14ac:dyDescent="0.3">
      <c r="D659" s="63" t="s">
        <v>1010</v>
      </c>
      <c r="E659" s="63"/>
      <c r="F659" s="72" t="s">
        <v>1011</v>
      </c>
      <c r="G659" s="1"/>
      <c r="H659" s="1"/>
      <c r="I659" s="1"/>
      <c r="J659" s="1"/>
      <c r="K659" s="1"/>
      <c r="L659" s="1"/>
      <c r="M659" s="1"/>
      <c r="N659" s="1"/>
      <c r="O659" s="1"/>
      <c r="P659" s="1"/>
    </row>
    <row r="660" spans="4:16" ht="18.75" x14ac:dyDescent="0.3">
      <c r="D660" s="63" t="s">
        <v>986</v>
      </c>
      <c r="E660" s="63" t="s">
        <v>5</v>
      </c>
      <c r="F660" s="72" t="s">
        <v>987</v>
      </c>
      <c r="G660" s="1"/>
      <c r="H660" s="1"/>
      <c r="I660" s="1"/>
      <c r="J660" s="1"/>
      <c r="K660" s="1"/>
      <c r="L660" s="1"/>
      <c r="M660" s="1"/>
      <c r="N660" s="1"/>
      <c r="O660" s="1"/>
      <c r="P660" s="1"/>
    </row>
    <row r="661" spans="4:16" ht="18.75" x14ac:dyDescent="0.3">
      <c r="D661" s="63" t="s">
        <v>1022</v>
      </c>
      <c r="E661" s="63" t="s">
        <v>11</v>
      </c>
      <c r="F661" s="72" t="s">
        <v>1023</v>
      </c>
      <c r="G661" s="1"/>
      <c r="H661" s="1"/>
      <c r="I661" s="1"/>
      <c r="J661" s="1"/>
      <c r="K661" s="1"/>
      <c r="L661" s="1"/>
      <c r="M661" s="1"/>
      <c r="N661" s="1"/>
      <c r="O661" s="1"/>
      <c r="P661" s="1"/>
    </row>
    <row r="662" spans="4:16" ht="18.75" x14ac:dyDescent="0.3">
      <c r="D662" s="63" t="s">
        <v>1024</v>
      </c>
      <c r="E662" s="63" t="s">
        <v>5</v>
      </c>
      <c r="F662" s="72" t="s">
        <v>1025</v>
      </c>
      <c r="G662" s="1"/>
      <c r="H662" s="1"/>
      <c r="I662" s="1"/>
      <c r="J662" s="1"/>
      <c r="K662" s="1"/>
      <c r="L662" s="1"/>
      <c r="M662" s="1"/>
      <c r="N662" s="1"/>
      <c r="O662" s="1"/>
      <c r="P662" s="1"/>
    </row>
    <row r="663" spans="4:16" ht="18.75" x14ac:dyDescent="0.3">
      <c r="D663" s="63" t="s">
        <v>1026</v>
      </c>
      <c r="E663" s="63" t="s">
        <v>492</v>
      </c>
      <c r="F663" s="72" t="s">
        <v>1027</v>
      </c>
      <c r="G663" s="1"/>
      <c r="H663" s="1"/>
      <c r="I663" s="1"/>
      <c r="J663" s="1"/>
      <c r="K663" s="1"/>
      <c r="L663" s="1"/>
      <c r="M663" s="1"/>
      <c r="N663" s="1"/>
      <c r="O663" s="1"/>
      <c r="P663" s="1"/>
    </row>
    <row r="664" spans="4:16" ht="18.75" x14ac:dyDescent="0.3">
      <c r="D664" s="63" t="s">
        <v>1028</v>
      </c>
      <c r="E664" s="63" t="s">
        <v>492</v>
      </c>
      <c r="F664" s="72" t="s">
        <v>1029</v>
      </c>
      <c r="G664" s="1"/>
      <c r="H664" s="1"/>
      <c r="I664" s="1"/>
      <c r="J664" s="1"/>
      <c r="K664" s="1"/>
      <c r="L664" s="1"/>
      <c r="M664" s="1"/>
      <c r="N664" s="1"/>
      <c r="O664" s="1"/>
      <c r="P664" s="1"/>
    </row>
    <row r="665" spans="4:16" ht="18.75" x14ac:dyDescent="0.3">
      <c r="D665" s="63" t="s">
        <v>1030</v>
      </c>
      <c r="E665" s="63"/>
      <c r="F665" s="72" t="s">
        <v>1031</v>
      </c>
      <c r="G665" s="1"/>
      <c r="H665" s="1"/>
      <c r="I665" s="1"/>
      <c r="J665" s="1"/>
      <c r="K665" s="1"/>
      <c r="L665" s="1"/>
      <c r="M665" s="1"/>
      <c r="N665" s="1"/>
      <c r="O665" s="1"/>
      <c r="P665" s="1"/>
    </row>
    <row r="666" spans="4:16" ht="18.75" x14ac:dyDescent="0.3">
      <c r="D666" s="63" t="s">
        <v>1032</v>
      </c>
      <c r="E666" s="63" t="s">
        <v>463</v>
      </c>
      <c r="F666" s="72" t="s">
        <v>1033</v>
      </c>
      <c r="G666" s="1"/>
      <c r="H666" s="1"/>
      <c r="I666" s="1"/>
      <c r="J666" s="1"/>
      <c r="K666" s="1"/>
      <c r="L666" s="1"/>
      <c r="M666" s="1"/>
      <c r="N666" s="1"/>
      <c r="O666" s="1"/>
      <c r="P666" s="1"/>
    </row>
    <row r="667" spans="4:16" ht="18.75" x14ac:dyDescent="0.3">
      <c r="D667" s="69" t="s">
        <v>1034</v>
      </c>
      <c r="E667" s="69"/>
      <c r="F667" s="63" t="s">
        <v>1035</v>
      </c>
      <c r="G667" s="1"/>
      <c r="H667" s="1"/>
      <c r="I667" s="1"/>
      <c r="J667" s="1"/>
      <c r="K667" s="1"/>
      <c r="L667" s="1"/>
      <c r="M667" s="1"/>
      <c r="N667" s="1"/>
      <c r="O667" s="1"/>
      <c r="P667" s="1"/>
    </row>
    <row r="668" spans="4:16" ht="18.75" x14ac:dyDescent="0.3">
      <c r="D668" s="63" t="s">
        <v>1036</v>
      </c>
      <c r="E668" s="63" t="s">
        <v>455</v>
      </c>
      <c r="F668" s="72" t="s">
        <v>1037</v>
      </c>
      <c r="G668" s="1"/>
      <c r="H668" s="1"/>
      <c r="I668" s="1"/>
      <c r="J668" s="1"/>
      <c r="K668" s="1"/>
      <c r="L668" s="1"/>
      <c r="M668" s="1"/>
      <c r="N668" s="1"/>
      <c r="O668" s="1"/>
      <c r="P668" s="1"/>
    </row>
    <row r="669" spans="4:16" ht="18.75" x14ac:dyDescent="0.3">
      <c r="D669" s="69" t="s">
        <v>1038</v>
      </c>
      <c r="E669" s="69" t="s">
        <v>576</v>
      </c>
      <c r="F669" s="72" t="s">
        <v>1039</v>
      </c>
      <c r="G669" s="1"/>
      <c r="H669" s="1"/>
      <c r="I669" s="1"/>
      <c r="J669" s="1"/>
      <c r="K669" s="1"/>
      <c r="L669" s="1"/>
      <c r="M669" s="1"/>
      <c r="N669" s="1"/>
      <c r="O669" s="1"/>
      <c r="P669" s="1"/>
    </row>
    <row r="670" spans="4:16" ht="18.75" x14ac:dyDescent="0.3">
      <c r="D670" s="63" t="s">
        <v>1040</v>
      </c>
      <c r="E670" s="63" t="s">
        <v>5</v>
      </c>
      <c r="F670" s="72" t="s">
        <v>1041</v>
      </c>
      <c r="G670" s="1"/>
      <c r="H670" s="1"/>
      <c r="I670" s="1"/>
      <c r="J670" s="1"/>
      <c r="K670" s="1"/>
      <c r="L670" s="1"/>
      <c r="M670" s="1"/>
      <c r="N670" s="1"/>
      <c r="O670" s="1"/>
      <c r="P670" s="1"/>
    </row>
    <row r="671" spans="4:16" ht="18.75" x14ac:dyDescent="0.3">
      <c r="D671" s="63" t="s">
        <v>1042</v>
      </c>
      <c r="E671" s="63" t="s">
        <v>950</v>
      </c>
      <c r="F671" s="72" t="s">
        <v>1043</v>
      </c>
      <c r="G671" s="1"/>
      <c r="H671" s="1"/>
      <c r="I671" s="1"/>
      <c r="J671" s="1"/>
      <c r="K671" s="1"/>
      <c r="L671" s="1"/>
      <c r="M671" s="1"/>
      <c r="N671" s="1"/>
      <c r="O671" s="1"/>
      <c r="P671" s="1"/>
    </row>
    <row r="672" spans="4:16" ht="18.75" x14ac:dyDescent="0.3">
      <c r="D672" s="63" t="s">
        <v>1044</v>
      </c>
      <c r="E672" s="63" t="s">
        <v>477</v>
      </c>
      <c r="F672" s="72" t="s">
        <v>1045</v>
      </c>
      <c r="G672" s="1"/>
      <c r="H672" s="1"/>
      <c r="I672" s="1"/>
      <c r="J672" s="1"/>
      <c r="K672" s="1"/>
      <c r="L672" s="1"/>
      <c r="M672" s="1"/>
      <c r="N672" s="1"/>
      <c r="O672" s="1"/>
      <c r="P672" s="1"/>
    </row>
    <row r="673" spans="4:16" ht="18.75" x14ac:dyDescent="0.3">
      <c r="D673" s="69" t="s">
        <v>1046</v>
      </c>
      <c r="E673" s="69" t="s">
        <v>31</v>
      </c>
      <c r="F673" s="72" t="s">
        <v>1047</v>
      </c>
      <c r="G673" s="1"/>
      <c r="H673" s="1"/>
      <c r="I673" s="1"/>
      <c r="J673" s="1"/>
      <c r="K673" s="1"/>
      <c r="L673" s="1"/>
      <c r="M673" s="1"/>
      <c r="N673" s="1"/>
      <c r="O673" s="1"/>
      <c r="P673" s="1"/>
    </row>
    <row r="674" spans="4:16" ht="18.75" x14ac:dyDescent="0.3">
      <c r="D674" s="63" t="s">
        <v>1048</v>
      </c>
      <c r="E674" s="63"/>
      <c r="F674" s="72" t="s">
        <v>1049</v>
      </c>
      <c r="G674" s="1"/>
      <c r="H674" s="1"/>
      <c r="I674" s="1"/>
      <c r="J674" s="1"/>
      <c r="K674" s="1"/>
      <c r="L674" s="1"/>
      <c r="M674" s="1"/>
      <c r="N674" s="1"/>
      <c r="O674" s="1"/>
      <c r="P674" s="1"/>
    </row>
    <row r="675" spans="4:16" ht="18.75" x14ac:dyDescent="0.3">
      <c r="D675" s="63" t="s">
        <v>1050</v>
      </c>
      <c r="E675" s="72" t="s">
        <v>480</v>
      </c>
      <c r="F675" s="72" t="s">
        <v>1051</v>
      </c>
      <c r="G675" s="1"/>
      <c r="H675" s="1"/>
      <c r="I675" s="1"/>
      <c r="J675" s="1"/>
      <c r="K675" s="1"/>
      <c r="L675" s="1"/>
      <c r="M675" s="1"/>
      <c r="N675" s="1"/>
      <c r="O675" s="1"/>
      <c r="P675" s="1"/>
    </row>
    <row r="676" spans="4:16" ht="18.75" x14ac:dyDescent="0.3">
      <c r="D676" s="63" t="s">
        <v>1052</v>
      </c>
      <c r="E676" s="72" t="s">
        <v>5</v>
      </c>
      <c r="F676" s="72" t="s">
        <v>1053</v>
      </c>
      <c r="G676" s="1"/>
      <c r="H676" s="1"/>
      <c r="I676" s="1"/>
      <c r="J676" s="1"/>
      <c r="K676" s="1"/>
      <c r="L676" s="1"/>
      <c r="M676" s="1"/>
      <c r="N676" s="1"/>
      <c r="O676" s="1"/>
      <c r="P676" s="1"/>
    </row>
    <row r="677" spans="4:16" ht="18.75" x14ac:dyDescent="0.3">
      <c r="D677" s="63" t="s">
        <v>1078</v>
      </c>
      <c r="E677" s="63" t="s">
        <v>512</v>
      </c>
      <c r="F677" s="72" t="s">
        <v>1079</v>
      </c>
      <c r="G677" s="1"/>
      <c r="H677" s="1"/>
      <c r="I677" s="1"/>
      <c r="J677" s="1"/>
      <c r="K677" s="1"/>
      <c r="L677" s="1"/>
      <c r="M677" s="1"/>
      <c r="N677" s="1"/>
      <c r="O677" s="1"/>
      <c r="P677" s="1"/>
    </row>
    <row r="678" spans="4:16" ht="18.75" x14ac:dyDescent="0.3">
      <c r="D678" s="63" t="s">
        <v>1054</v>
      </c>
      <c r="E678" s="63" t="s">
        <v>492</v>
      </c>
      <c r="F678" s="72" t="s">
        <v>1055</v>
      </c>
      <c r="G678" s="1"/>
      <c r="H678" s="1"/>
      <c r="I678" s="1"/>
      <c r="J678" s="1"/>
      <c r="K678" s="1"/>
      <c r="L678" s="1"/>
      <c r="M678" s="1"/>
      <c r="N678" s="1"/>
      <c r="O678" s="1"/>
      <c r="P678" s="1"/>
    </row>
    <row r="679" spans="4:16" ht="18.75" x14ac:dyDescent="0.3">
      <c r="D679" s="63" t="s">
        <v>1056</v>
      </c>
      <c r="E679" s="63" t="s">
        <v>11</v>
      </c>
      <c r="F679" s="72" t="s">
        <v>1057</v>
      </c>
      <c r="G679" s="1"/>
      <c r="H679" s="1"/>
      <c r="I679" s="1"/>
      <c r="J679" s="1"/>
      <c r="K679" s="1"/>
      <c r="L679" s="1"/>
      <c r="M679" s="1"/>
      <c r="N679" s="1"/>
      <c r="O679" s="1"/>
      <c r="P679" s="1"/>
    </row>
    <row r="680" spans="4:16" ht="18.75" x14ac:dyDescent="0.3">
      <c r="D680" s="69" t="s">
        <v>1058</v>
      </c>
      <c r="E680" s="69" t="s">
        <v>16</v>
      </c>
      <c r="F680" s="72" t="s">
        <v>1059</v>
      </c>
      <c r="G680" s="1"/>
      <c r="H680" s="1"/>
      <c r="I680" s="1"/>
      <c r="J680" s="1"/>
      <c r="K680" s="1"/>
      <c r="L680" s="1"/>
      <c r="M680" s="1"/>
      <c r="N680" s="1"/>
      <c r="O680" s="1"/>
      <c r="P680" s="1"/>
    </row>
    <row r="681" spans="4:16" ht="18.75" x14ac:dyDescent="0.3">
      <c r="D681" s="69" t="s">
        <v>1060</v>
      </c>
      <c r="E681" s="69" t="s">
        <v>18</v>
      </c>
      <c r="F681" s="72" t="s">
        <v>1061</v>
      </c>
      <c r="G681" s="1"/>
      <c r="H681" s="1"/>
      <c r="I681" s="1"/>
      <c r="J681" s="1"/>
      <c r="K681" s="1"/>
      <c r="L681" s="1"/>
      <c r="M681" s="1"/>
      <c r="N681" s="1"/>
      <c r="O681" s="1"/>
      <c r="P681" s="1"/>
    </row>
    <row r="682" spans="4:16" ht="18.75" x14ac:dyDescent="0.3">
      <c r="D682" s="69" t="s">
        <v>1062</v>
      </c>
      <c r="E682" s="69"/>
      <c r="F682" s="72" t="s">
        <v>1063</v>
      </c>
      <c r="G682" s="1"/>
      <c r="H682" s="1"/>
      <c r="I682" s="1"/>
      <c r="J682" s="1"/>
      <c r="K682" s="1"/>
      <c r="L682" s="1"/>
      <c r="M682" s="1"/>
      <c r="N682" s="1"/>
      <c r="O682" s="1"/>
      <c r="P682" s="1"/>
    </row>
    <row r="683" spans="4:16" ht="18.75" x14ac:dyDescent="0.3">
      <c r="D683" s="63" t="s">
        <v>1064</v>
      </c>
      <c r="E683" s="72" t="s">
        <v>515</v>
      </c>
      <c r="F683" s="72" t="s">
        <v>1065</v>
      </c>
      <c r="G683" s="1"/>
      <c r="H683" s="1"/>
      <c r="I683" s="1"/>
      <c r="J683" s="1"/>
      <c r="K683" s="1"/>
      <c r="L683" s="1"/>
      <c r="M683" s="1"/>
      <c r="N683" s="1"/>
      <c r="O683" s="1"/>
      <c r="P683" s="1"/>
    </row>
    <row r="684" spans="4:16" ht="18.75" x14ac:dyDescent="0.3">
      <c r="D684" s="63" t="s">
        <v>1066</v>
      </c>
      <c r="E684" s="72" t="s">
        <v>492</v>
      </c>
      <c r="F684" s="72" t="s">
        <v>1067</v>
      </c>
      <c r="G684" s="1"/>
      <c r="H684" s="1"/>
      <c r="I684" s="1"/>
      <c r="J684" s="1"/>
      <c r="K684" s="1"/>
      <c r="L684" s="1"/>
      <c r="M684" s="1"/>
      <c r="N684" s="1"/>
      <c r="O684" s="1"/>
      <c r="P684" s="1"/>
    </row>
    <row r="685" spans="4:16" ht="18.75" x14ac:dyDescent="0.3">
      <c r="D685" s="69" t="s">
        <v>1068</v>
      </c>
      <c r="E685" s="69" t="s">
        <v>26</v>
      </c>
      <c r="F685" s="72" t="s">
        <v>1069</v>
      </c>
      <c r="G685" s="1"/>
      <c r="H685" s="1"/>
      <c r="I685" s="1"/>
      <c r="J685" s="1"/>
      <c r="K685" s="1"/>
      <c r="L685" s="1"/>
      <c r="M685" s="1"/>
      <c r="N685" s="1"/>
      <c r="O685" s="1"/>
      <c r="P685" s="1"/>
    </row>
    <row r="686" spans="4:16" ht="18.75" x14ac:dyDescent="0.3">
      <c r="D686" s="63" t="s">
        <v>1070</v>
      </c>
      <c r="E686" s="72" t="s">
        <v>492</v>
      </c>
      <c r="F686" s="72" t="s">
        <v>1071</v>
      </c>
      <c r="G686" s="1"/>
      <c r="H686" s="1"/>
      <c r="I686" s="1"/>
      <c r="J686" s="1"/>
      <c r="K686" s="1"/>
      <c r="L686" s="1"/>
      <c r="M686" s="1"/>
      <c r="N686" s="1"/>
      <c r="O686" s="1"/>
      <c r="P686" s="1"/>
    </row>
    <row r="687" spans="4:16" ht="18.75" x14ac:dyDescent="0.3">
      <c r="D687" s="69" t="s">
        <v>1072</v>
      </c>
      <c r="E687" s="69" t="s">
        <v>477</v>
      </c>
      <c r="F687" s="72" t="s">
        <v>1073</v>
      </c>
      <c r="G687" s="1"/>
      <c r="H687" s="1"/>
      <c r="I687" s="1"/>
      <c r="J687" s="1"/>
      <c r="K687" s="1"/>
      <c r="L687" s="1"/>
      <c r="M687" s="1"/>
      <c r="N687" s="1"/>
      <c r="O687" s="1"/>
      <c r="P687" s="1"/>
    </row>
    <row r="688" spans="4:16" ht="18.75" x14ac:dyDescent="0.3">
      <c r="D688" s="63" t="s">
        <v>1074</v>
      </c>
      <c r="E688" s="72" t="s">
        <v>455</v>
      </c>
      <c r="F688" s="72" t="s">
        <v>1075</v>
      </c>
      <c r="G688" s="1"/>
      <c r="H688" s="1"/>
      <c r="I688" s="1"/>
      <c r="J688" s="1"/>
      <c r="K688" s="1"/>
      <c r="L688" s="1"/>
      <c r="M688" s="1"/>
      <c r="N688" s="1"/>
      <c r="O688" s="1"/>
      <c r="P688" s="1"/>
    </row>
    <row r="689" spans="4:16" ht="18.75" x14ac:dyDescent="0.3">
      <c r="D689" s="63" t="s">
        <v>1076</v>
      </c>
      <c r="E689" s="63" t="s">
        <v>492</v>
      </c>
      <c r="F689" s="72" t="s">
        <v>1077</v>
      </c>
      <c r="G689" s="1"/>
      <c r="H689" s="1"/>
      <c r="I689" s="1"/>
      <c r="J689" s="1"/>
      <c r="K689" s="1"/>
      <c r="L689" s="1"/>
      <c r="M689" s="1"/>
      <c r="N689" s="1"/>
      <c r="O689" s="1"/>
      <c r="P689" s="1"/>
    </row>
    <row r="690" spans="4:16" ht="18.75" x14ac:dyDescent="0.3">
      <c r="D690" s="69" t="s">
        <v>1080</v>
      </c>
      <c r="E690" s="69" t="s">
        <v>18</v>
      </c>
      <c r="F690" s="72" t="s">
        <v>1081</v>
      </c>
      <c r="G690" s="1"/>
      <c r="H690" s="1"/>
      <c r="I690" s="1"/>
      <c r="J690" s="1"/>
      <c r="K690" s="1"/>
      <c r="L690" s="1"/>
      <c r="M690" s="1"/>
      <c r="N690" s="1"/>
      <c r="O690" s="1"/>
      <c r="P690" s="1"/>
    </row>
    <row r="691" spans="4:16" ht="18.75" x14ac:dyDescent="0.3">
      <c r="D691" s="63" t="s">
        <v>1082</v>
      </c>
      <c r="E691" s="63" t="s">
        <v>5</v>
      </c>
      <c r="F691" s="72" t="s">
        <v>1083</v>
      </c>
      <c r="G691" s="1"/>
      <c r="H691" s="1"/>
      <c r="I691" s="1"/>
      <c r="J691" s="1"/>
      <c r="K691" s="1"/>
      <c r="L691" s="1"/>
      <c r="M691" s="1"/>
      <c r="N691" s="1"/>
      <c r="O691" s="1"/>
      <c r="P691" s="1"/>
    </row>
    <row r="692" spans="4:16" ht="18.75" x14ac:dyDescent="0.3">
      <c r="D692" s="63" t="s">
        <v>1084</v>
      </c>
      <c r="E692" s="63" t="s">
        <v>515</v>
      </c>
      <c r="F692" s="72" t="s">
        <v>1085</v>
      </c>
      <c r="G692" s="1"/>
      <c r="H692" s="1"/>
      <c r="I692" s="1"/>
      <c r="J692" s="1"/>
      <c r="K692" s="1"/>
      <c r="L692" s="1"/>
      <c r="M692" s="1"/>
      <c r="N692" s="1"/>
      <c r="O692" s="1"/>
      <c r="P692" s="1"/>
    </row>
    <row r="693" spans="4:16" ht="18.75" x14ac:dyDescent="0.3">
      <c r="D693" s="63" t="s">
        <v>1086</v>
      </c>
      <c r="E693" s="63"/>
      <c r="F693" s="72" t="s">
        <v>1087</v>
      </c>
      <c r="G693" s="1"/>
      <c r="H693" s="1"/>
      <c r="I693" s="1"/>
      <c r="J693" s="1"/>
      <c r="K693" s="1"/>
      <c r="L693" s="1"/>
      <c r="M693" s="1"/>
      <c r="N693" s="1"/>
      <c r="O693" s="1"/>
      <c r="P693" s="1"/>
    </row>
    <row r="694" spans="4:16" ht="18.75" x14ac:dyDescent="0.3">
      <c r="D694" s="63" t="s">
        <v>1088</v>
      </c>
      <c r="E694" s="63" t="s">
        <v>455</v>
      </c>
      <c r="F694" s="72" t="s">
        <v>1089</v>
      </c>
      <c r="G694" s="1"/>
      <c r="H694" s="1"/>
      <c r="I694" s="1"/>
      <c r="J694" s="1"/>
      <c r="K694" s="1"/>
      <c r="L694" s="1"/>
      <c r="M694" s="1"/>
      <c r="N694" s="1"/>
      <c r="O694" s="1"/>
      <c r="P694" s="1"/>
    </row>
    <row r="695" spans="4:16" ht="18.75" x14ac:dyDescent="0.3">
      <c r="D695" s="63" t="s">
        <v>1090</v>
      </c>
      <c r="E695" s="63"/>
      <c r="F695" s="72" t="s">
        <v>1091</v>
      </c>
      <c r="G695" s="1"/>
      <c r="H695" s="1"/>
      <c r="I695" s="1"/>
      <c r="J695" s="1"/>
      <c r="K695" s="1"/>
      <c r="L695" s="1"/>
      <c r="M695" s="1"/>
      <c r="N695" s="1"/>
      <c r="O695" s="1"/>
      <c r="P695" s="1"/>
    </row>
    <row r="696" spans="4:16" ht="18.75" x14ac:dyDescent="0.3">
      <c r="D696" s="69" t="s">
        <v>1092</v>
      </c>
      <c r="E696" s="69" t="s">
        <v>548</v>
      </c>
      <c r="F696" s="72" t="s">
        <v>1093</v>
      </c>
      <c r="G696" s="1"/>
      <c r="H696" s="1"/>
      <c r="I696" s="1"/>
      <c r="J696" s="1"/>
      <c r="K696" s="1"/>
      <c r="L696" s="1"/>
      <c r="M696" s="1"/>
      <c r="N696" s="1"/>
      <c r="O696" s="1"/>
      <c r="P696" s="1"/>
    </row>
    <row r="697" spans="4:16" ht="18.75" x14ac:dyDescent="0.3">
      <c r="D697" s="69" t="s">
        <v>1094</v>
      </c>
      <c r="E697" s="69" t="s">
        <v>515</v>
      </c>
      <c r="F697" s="72" t="s">
        <v>1095</v>
      </c>
      <c r="G697" s="1"/>
      <c r="H697" s="1"/>
      <c r="I697" s="1"/>
      <c r="J697" s="1"/>
      <c r="K697" s="1"/>
      <c r="L697" s="1"/>
      <c r="M697" s="1"/>
      <c r="N697" s="1"/>
      <c r="O697" s="1"/>
      <c r="P697" s="1"/>
    </row>
    <row r="698" spans="4:16" ht="18.75" x14ac:dyDescent="0.3">
      <c r="D698" s="63" t="s">
        <v>1096</v>
      </c>
      <c r="E698" s="72" t="s">
        <v>5</v>
      </c>
      <c r="F698" s="72" t="s">
        <v>1097</v>
      </c>
      <c r="G698" s="1"/>
      <c r="H698" s="1"/>
      <c r="I698" s="1"/>
      <c r="J698" s="1"/>
      <c r="K698" s="1"/>
      <c r="L698" s="1"/>
      <c r="M698" s="1"/>
      <c r="N698" s="1"/>
      <c r="O698" s="1"/>
      <c r="P698" s="1"/>
    </row>
    <row r="699" spans="4:16" ht="18.75" x14ac:dyDescent="0.3">
      <c r="D699" s="69" t="s">
        <v>1098</v>
      </c>
      <c r="E699" s="69" t="s">
        <v>31</v>
      </c>
      <c r="F699" s="72" t="s">
        <v>1099</v>
      </c>
      <c r="G699" s="1"/>
      <c r="H699" s="1"/>
      <c r="I699" s="1"/>
      <c r="J699" s="1"/>
      <c r="K699" s="1"/>
      <c r="L699" s="1"/>
      <c r="M699" s="1"/>
      <c r="N699" s="1"/>
      <c r="O699" s="1"/>
      <c r="P699" s="1"/>
    </row>
    <row r="700" spans="4:16" ht="18.75" x14ac:dyDescent="0.3">
      <c r="D700" s="63" t="s">
        <v>1100</v>
      </c>
      <c r="E700" s="63" t="s">
        <v>477</v>
      </c>
      <c r="F700" s="72" t="s">
        <v>1101</v>
      </c>
      <c r="G700" s="1"/>
      <c r="H700" s="1"/>
      <c r="I700" s="1"/>
      <c r="J700" s="1"/>
      <c r="K700" s="1"/>
      <c r="L700" s="1"/>
      <c r="M700" s="1"/>
      <c r="N700" s="1"/>
      <c r="O700" s="1"/>
      <c r="P700" s="1"/>
    </row>
    <row r="701" spans="4:16" ht="18.75" x14ac:dyDescent="0.3">
      <c r="D701" s="69" t="s">
        <v>1102</v>
      </c>
      <c r="E701" s="69" t="s">
        <v>1103</v>
      </c>
      <c r="F701" s="72" t="s">
        <v>1104</v>
      </c>
      <c r="G701" s="1"/>
      <c r="H701" s="1"/>
      <c r="I701" s="1"/>
      <c r="J701" s="1"/>
      <c r="K701" s="1"/>
      <c r="L701" s="1"/>
      <c r="M701" s="1"/>
      <c r="N701" s="1"/>
      <c r="O701" s="1"/>
      <c r="P701" s="1"/>
    </row>
    <row r="702" spans="4:16" ht="18.75" x14ac:dyDescent="0.3">
      <c r="D702" s="63" t="s">
        <v>1105</v>
      </c>
      <c r="E702" s="63" t="s">
        <v>492</v>
      </c>
      <c r="F702" s="72" t="s">
        <v>1106</v>
      </c>
      <c r="G702" s="1"/>
      <c r="H702" s="1"/>
      <c r="I702" s="1"/>
      <c r="J702" s="1"/>
      <c r="K702" s="1"/>
      <c r="L702" s="1"/>
      <c r="M702" s="1"/>
      <c r="N702" s="1"/>
      <c r="O702" s="1"/>
      <c r="P702" s="1"/>
    </row>
    <row r="703" spans="4:16" ht="18.75" x14ac:dyDescent="0.3">
      <c r="D703" s="63" t="s">
        <v>1107</v>
      </c>
      <c r="E703" s="63" t="s">
        <v>467</v>
      </c>
      <c r="F703" s="72" t="s">
        <v>1108</v>
      </c>
      <c r="G703" s="1"/>
      <c r="H703" s="1"/>
      <c r="I703" s="1"/>
      <c r="J703" s="1"/>
      <c r="K703" s="1"/>
      <c r="L703" s="1"/>
      <c r="M703" s="1"/>
      <c r="N703" s="1"/>
      <c r="O703" s="1"/>
      <c r="P703" s="1"/>
    </row>
    <row r="704" spans="4:16" ht="18.75" x14ac:dyDescent="0.3">
      <c r="D704" s="69" t="s">
        <v>1109</v>
      </c>
      <c r="E704" s="69" t="s">
        <v>16</v>
      </c>
      <c r="F704" s="72" t="s">
        <v>1110</v>
      </c>
      <c r="G704" s="1"/>
      <c r="H704" s="1"/>
      <c r="I704" s="1"/>
      <c r="J704" s="1"/>
      <c r="K704" s="1"/>
      <c r="L704" s="1"/>
      <c r="M704" s="1"/>
      <c r="N704" s="1"/>
      <c r="O704" s="1"/>
      <c r="P704" s="1"/>
    </row>
    <row r="705" spans="4:16" ht="18.75" x14ac:dyDescent="0.3">
      <c r="D705" s="69" t="s">
        <v>1111</v>
      </c>
      <c r="E705" s="69" t="s">
        <v>26</v>
      </c>
      <c r="F705" s="72" t="s">
        <v>1112</v>
      </c>
      <c r="G705" s="1"/>
      <c r="H705" s="1"/>
      <c r="I705" s="1"/>
      <c r="J705" s="1"/>
      <c r="K705" s="1"/>
      <c r="L705" s="1"/>
      <c r="M705" s="1"/>
      <c r="N705" s="1"/>
      <c r="O705" s="1"/>
      <c r="P705" s="1"/>
    </row>
    <row r="706" spans="4:16" ht="18.75" x14ac:dyDescent="0.3">
      <c r="D706" s="63" t="s">
        <v>1113</v>
      </c>
      <c r="E706" s="63" t="s">
        <v>11</v>
      </c>
      <c r="F706" s="72" t="s">
        <v>1114</v>
      </c>
      <c r="G706" s="1"/>
      <c r="H706" s="1"/>
      <c r="I706" s="1"/>
      <c r="J706" s="1"/>
      <c r="K706" s="1"/>
      <c r="L706" s="1"/>
      <c r="M706" s="1"/>
      <c r="N706" s="1"/>
      <c r="O706" s="1"/>
      <c r="P706" s="1"/>
    </row>
    <row r="707" spans="4:16" ht="18.75" x14ac:dyDescent="0.3">
      <c r="D707" s="63" t="s">
        <v>1115</v>
      </c>
      <c r="E707" s="63" t="s">
        <v>490</v>
      </c>
      <c r="F707" s="72" t="s">
        <v>1116</v>
      </c>
      <c r="G707" s="1"/>
      <c r="H707" s="1"/>
      <c r="I707" s="1"/>
      <c r="J707" s="1"/>
      <c r="K707" s="1"/>
      <c r="L707" s="1"/>
      <c r="M707" s="1"/>
      <c r="N707" s="1"/>
      <c r="O707" s="1"/>
      <c r="P707" s="1"/>
    </row>
    <row r="708" spans="4:16" ht="18.75" x14ac:dyDescent="0.3">
      <c r="D708" s="69" t="s">
        <v>1117</v>
      </c>
      <c r="E708" s="69" t="s">
        <v>16</v>
      </c>
      <c r="F708" s="72" t="s">
        <v>1118</v>
      </c>
      <c r="G708" s="1"/>
      <c r="H708" s="1"/>
      <c r="I708" s="1"/>
      <c r="J708" s="1"/>
      <c r="K708" s="1"/>
      <c r="L708" s="1"/>
      <c r="M708" s="1"/>
      <c r="N708" s="1"/>
      <c r="O708" s="1"/>
      <c r="P708" s="1"/>
    </row>
    <row r="709" spans="4:16" ht="18.75" x14ac:dyDescent="0.3">
      <c r="D709" s="63" t="s">
        <v>1119</v>
      </c>
      <c r="E709" s="63" t="s">
        <v>455</v>
      </c>
      <c r="F709" s="72" t="s">
        <v>1120</v>
      </c>
      <c r="G709" s="1"/>
      <c r="H709" s="1"/>
      <c r="I709" s="1"/>
      <c r="J709" s="1"/>
      <c r="K709" s="1"/>
      <c r="L709" s="1"/>
      <c r="M709" s="1"/>
      <c r="N709" s="1"/>
      <c r="O709" s="1"/>
      <c r="P709" s="1"/>
    </row>
    <row r="710" spans="4:16" ht="18.75" x14ac:dyDescent="0.3">
      <c r="D710" s="69" t="s">
        <v>1121</v>
      </c>
      <c r="E710" s="69" t="s">
        <v>26</v>
      </c>
      <c r="F710" s="72" t="s">
        <v>1122</v>
      </c>
      <c r="G710" s="1"/>
      <c r="H710" s="1"/>
      <c r="I710" s="1"/>
      <c r="J710" s="1"/>
      <c r="K710" s="1"/>
      <c r="L710" s="1"/>
      <c r="M710" s="1"/>
      <c r="N710" s="1"/>
      <c r="O710" s="1"/>
      <c r="P710" s="1"/>
    </row>
    <row r="711" spans="4:16" ht="18.75" x14ac:dyDescent="0.3">
      <c r="D711" s="63" t="s">
        <v>1123</v>
      </c>
      <c r="E711" s="63" t="s">
        <v>515</v>
      </c>
      <c r="F711" s="72" t="s">
        <v>1124</v>
      </c>
      <c r="G711" s="1"/>
      <c r="H711" s="1"/>
      <c r="I711" s="1"/>
      <c r="J711" s="1"/>
      <c r="K711" s="1"/>
      <c r="L711" s="1"/>
      <c r="M711" s="1"/>
      <c r="N711" s="1"/>
      <c r="O711" s="1"/>
      <c r="P711" s="1"/>
    </row>
    <row r="712" spans="4:16" ht="18.75" x14ac:dyDescent="0.3">
      <c r="D712" s="69" t="s">
        <v>1125</v>
      </c>
      <c r="E712" s="69" t="s">
        <v>1126</v>
      </c>
      <c r="F712" s="72" t="s">
        <v>1127</v>
      </c>
      <c r="G712" s="1"/>
      <c r="H712" s="1"/>
      <c r="I712" s="1"/>
      <c r="J712" s="1"/>
      <c r="K712" s="1"/>
      <c r="L712" s="1"/>
      <c r="M712" s="1"/>
      <c r="N712" s="1"/>
      <c r="O712" s="1"/>
      <c r="P712" s="1"/>
    </row>
    <row r="713" spans="4:16" ht="18.75" x14ac:dyDescent="0.3">
      <c r="D713" s="63" t="s">
        <v>1128</v>
      </c>
      <c r="E713" s="63" t="s">
        <v>1129</v>
      </c>
      <c r="F713" s="72" t="s">
        <v>1130</v>
      </c>
      <c r="G713" s="1"/>
      <c r="H713" s="1"/>
      <c r="I713" s="1"/>
      <c r="J713" s="1"/>
      <c r="K713" s="1"/>
      <c r="L713" s="1"/>
      <c r="M713" s="1"/>
      <c r="N713" s="1"/>
      <c r="O713" s="1"/>
      <c r="P713" s="1"/>
    </row>
    <row r="714" spans="4:16" ht="18.75" x14ac:dyDescent="0.3">
      <c r="D714" s="63" t="s">
        <v>1131</v>
      </c>
      <c r="E714" s="72" t="s">
        <v>492</v>
      </c>
      <c r="F714" s="72" t="s">
        <v>1132</v>
      </c>
      <c r="G714" s="1"/>
      <c r="H714" s="1"/>
      <c r="I714" s="1"/>
      <c r="J714" s="1"/>
      <c r="K714" s="1"/>
      <c r="L714" s="1"/>
      <c r="M714" s="1"/>
      <c r="N714" s="1"/>
      <c r="O714" s="1"/>
      <c r="P714" s="1"/>
    </row>
    <row r="715" spans="4:16" ht="18.75" x14ac:dyDescent="0.3">
      <c r="D715" s="63" t="s">
        <v>1133</v>
      </c>
      <c r="E715" s="63" t="s">
        <v>463</v>
      </c>
      <c r="F715" s="72" t="s">
        <v>1134</v>
      </c>
      <c r="G715" s="1"/>
      <c r="H715" s="1"/>
      <c r="I715" s="1"/>
      <c r="J715" s="1"/>
      <c r="K715" s="1"/>
      <c r="L715" s="1"/>
      <c r="M715" s="1"/>
      <c r="N715" s="1"/>
      <c r="O715" s="1"/>
      <c r="P715" s="1"/>
    </row>
    <row r="716" spans="4:16" ht="18.75" x14ac:dyDescent="0.3">
      <c r="D716" s="69" t="s">
        <v>1135</v>
      </c>
      <c r="E716" s="69" t="s">
        <v>18</v>
      </c>
      <c r="F716" s="72" t="s">
        <v>1136</v>
      </c>
      <c r="G716" s="1"/>
      <c r="H716" s="1"/>
      <c r="I716" s="1"/>
      <c r="J716" s="1"/>
      <c r="K716" s="1"/>
      <c r="L716" s="1"/>
      <c r="M716" s="1"/>
      <c r="N716" s="1"/>
      <c r="O716" s="1"/>
      <c r="P716" s="1"/>
    </row>
    <row r="717" spans="4:16" ht="18.75" x14ac:dyDescent="0.3">
      <c r="D717" s="63" t="s">
        <v>1137</v>
      </c>
      <c r="E717" s="63"/>
      <c r="F717" s="72" t="s">
        <v>1138</v>
      </c>
      <c r="G717" s="1"/>
      <c r="H717" s="1"/>
      <c r="I717" s="1"/>
      <c r="J717" s="1"/>
      <c r="K717" s="1"/>
      <c r="L717" s="1"/>
      <c r="M717" s="1"/>
      <c r="N717" s="1"/>
      <c r="O717" s="1"/>
      <c r="P717" s="1"/>
    </row>
    <row r="718" spans="4:16" ht="18.75" x14ac:dyDescent="0.3">
      <c r="D718" s="63" t="s">
        <v>1139</v>
      </c>
      <c r="E718" s="63" t="s">
        <v>11</v>
      </c>
      <c r="F718" s="72" t="s">
        <v>1140</v>
      </c>
      <c r="G718" s="1"/>
      <c r="H718" s="1"/>
      <c r="I718" s="1"/>
      <c r="J718" s="1"/>
      <c r="K718" s="1"/>
      <c r="L718" s="1"/>
      <c r="M718" s="1"/>
      <c r="N718" s="1"/>
      <c r="O718" s="1"/>
      <c r="P718" s="1"/>
    </row>
    <row r="719" spans="4:16" ht="18.75" x14ac:dyDescent="0.3">
      <c r="D719" s="63" t="s">
        <v>1141</v>
      </c>
      <c r="E719" s="63" t="s">
        <v>480</v>
      </c>
      <c r="F719" s="72" t="s">
        <v>1142</v>
      </c>
      <c r="G719" s="1"/>
      <c r="H719" s="1"/>
      <c r="I719" s="1"/>
      <c r="J719" s="1"/>
      <c r="K719" s="1"/>
      <c r="L719" s="1"/>
      <c r="M719" s="1"/>
      <c r="N719" s="1"/>
      <c r="O719" s="1"/>
      <c r="P719" s="1"/>
    </row>
    <row r="720" spans="4:16" ht="18.75" x14ac:dyDescent="0.3">
      <c r="D720" s="69" t="s">
        <v>1143</v>
      </c>
      <c r="E720" s="69" t="s">
        <v>463</v>
      </c>
      <c r="F720" s="72" t="s">
        <v>1144</v>
      </c>
      <c r="G720" s="1"/>
      <c r="H720" s="1"/>
      <c r="I720" s="1"/>
      <c r="J720" s="1"/>
      <c r="K720" s="1"/>
      <c r="L720" s="1"/>
      <c r="M720" s="1"/>
      <c r="N720" s="1"/>
      <c r="O720" s="1"/>
      <c r="P720" s="1"/>
    </row>
    <row r="721" spans="4:16" ht="18.75" x14ac:dyDescent="0.3">
      <c r="D721" s="63" t="s">
        <v>1145</v>
      </c>
      <c r="E721" s="63" t="s">
        <v>463</v>
      </c>
      <c r="F721" s="72" t="s">
        <v>1146</v>
      </c>
      <c r="G721" s="1"/>
      <c r="H721" s="1"/>
      <c r="I721" s="1"/>
      <c r="J721" s="1"/>
      <c r="K721" s="1"/>
      <c r="L721" s="1"/>
      <c r="M721" s="1"/>
      <c r="N721" s="1"/>
      <c r="O721" s="1"/>
      <c r="P721" s="1"/>
    </row>
    <row r="722" spans="4:16" ht="18.75" x14ac:dyDescent="0.3">
      <c r="D722" s="63" t="s">
        <v>1147</v>
      </c>
      <c r="E722" s="72" t="s">
        <v>5</v>
      </c>
      <c r="F722" s="72" t="s">
        <v>1148</v>
      </c>
      <c r="G722" s="1"/>
      <c r="H722" s="1"/>
      <c r="I722" s="1"/>
      <c r="J722" s="1"/>
      <c r="K722" s="1"/>
      <c r="L722" s="1"/>
      <c r="M722" s="1"/>
      <c r="N722" s="1"/>
      <c r="O722" s="1"/>
      <c r="P722" s="1"/>
    </row>
    <row r="723" spans="4:16" ht="18.75" customHeight="1" x14ac:dyDescent="0.3">
      <c r="D723" s="69" t="s">
        <v>1149</v>
      </c>
      <c r="E723" s="69" t="s">
        <v>16</v>
      </c>
      <c r="F723" s="72" t="s">
        <v>1150</v>
      </c>
      <c r="G723" s="1"/>
      <c r="H723" s="1"/>
      <c r="I723" s="1"/>
      <c r="J723" s="1"/>
      <c r="K723" s="1"/>
      <c r="L723" s="1"/>
      <c r="M723" s="1"/>
      <c r="N723" s="1"/>
      <c r="O723" s="1"/>
      <c r="P723" s="1"/>
    </row>
    <row r="724" spans="4:16" ht="18.75" customHeight="1" x14ac:dyDescent="0.25">
      <c r="D724" s="72" t="s">
        <v>1151</v>
      </c>
      <c r="E724" s="72" t="s">
        <v>455</v>
      </c>
      <c r="F724" s="72" t="s">
        <v>1152</v>
      </c>
      <c r="G724" s="1"/>
      <c r="H724" s="1"/>
      <c r="I724" s="1"/>
      <c r="J724" s="1"/>
      <c r="K724" s="1"/>
      <c r="L724" s="1"/>
      <c r="M724" s="1"/>
      <c r="N724" s="1"/>
      <c r="O724" s="1"/>
      <c r="P724" s="1"/>
    </row>
    <row r="725" spans="4:16" ht="18.75" x14ac:dyDescent="0.3">
      <c r="D725" s="63" t="s">
        <v>1153</v>
      </c>
      <c r="E725" s="63" t="s">
        <v>16</v>
      </c>
      <c r="F725" s="72" t="s">
        <v>1154</v>
      </c>
      <c r="G725" s="1"/>
      <c r="H725" s="1"/>
      <c r="I725" s="1"/>
      <c r="J725" s="1"/>
      <c r="K725" s="1"/>
      <c r="L725" s="1"/>
      <c r="M725" s="1"/>
      <c r="N725" s="1"/>
      <c r="O725" s="1"/>
      <c r="P725" s="1"/>
    </row>
    <row r="726" spans="4:16" ht="18.75" x14ac:dyDescent="0.3">
      <c r="D726" s="63" t="s">
        <v>1155</v>
      </c>
      <c r="E726" s="63"/>
      <c r="F726" s="72" t="s">
        <v>1156</v>
      </c>
      <c r="G726" s="1"/>
      <c r="H726" s="1"/>
      <c r="I726" s="1"/>
      <c r="J726" s="1"/>
      <c r="K726" s="1"/>
      <c r="L726" s="1"/>
      <c r="M726" s="1"/>
      <c r="N726" s="1"/>
      <c r="O726" s="1"/>
      <c r="P726" s="1"/>
    </row>
    <row r="727" spans="4:16" ht="18.75" x14ac:dyDescent="0.3">
      <c r="D727" s="69" t="s">
        <v>1157</v>
      </c>
      <c r="E727" s="69"/>
      <c r="F727" s="72" t="s">
        <v>1158</v>
      </c>
      <c r="G727" s="1"/>
      <c r="H727" s="1"/>
      <c r="I727" s="1"/>
      <c r="J727" s="1"/>
      <c r="K727" s="1"/>
      <c r="L727" s="1"/>
      <c r="M727" s="1"/>
      <c r="N727" s="1"/>
      <c r="O727" s="1"/>
      <c r="P727" s="1"/>
    </row>
    <row r="728" spans="4:16" ht="18.75" x14ac:dyDescent="0.3">
      <c r="D728" s="63" t="s">
        <v>1159</v>
      </c>
      <c r="E728" s="63" t="s">
        <v>455</v>
      </c>
      <c r="F728" s="72" t="s">
        <v>1160</v>
      </c>
      <c r="G728" s="1"/>
      <c r="H728" s="1"/>
      <c r="I728" s="1"/>
      <c r="J728" s="1"/>
      <c r="K728" s="1"/>
      <c r="L728" s="1"/>
      <c r="M728" s="1"/>
      <c r="N728" s="1"/>
      <c r="O728" s="1"/>
      <c r="P728" s="1"/>
    </row>
    <row r="729" spans="4:16" ht="18.75" x14ac:dyDescent="0.3">
      <c r="D729" s="69" t="s">
        <v>1161</v>
      </c>
      <c r="E729" s="69" t="s">
        <v>18</v>
      </c>
      <c r="F729" s="72" t="s">
        <v>1162</v>
      </c>
      <c r="G729" s="1"/>
      <c r="H729" s="1"/>
      <c r="I729" s="1"/>
      <c r="J729" s="1"/>
      <c r="K729" s="1"/>
      <c r="L729" s="1"/>
      <c r="M729" s="1"/>
      <c r="N729" s="1"/>
      <c r="O729" s="1"/>
      <c r="P729" s="1"/>
    </row>
    <row r="730" spans="4:16" ht="18.75" customHeight="1" x14ac:dyDescent="0.3">
      <c r="D730" s="63" t="s">
        <v>1163</v>
      </c>
      <c r="E730" s="63" t="s">
        <v>480</v>
      </c>
      <c r="F730" s="72" t="s">
        <v>1164</v>
      </c>
      <c r="G730" s="1"/>
      <c r="H730" s="1"/>
      <c r="I730" s="1"/>
      <c r="J730" s="1"/>
      <c r="K730" s="1"/>
      <c r="L730" s="1"/>
      <c r="M730" s="1"/>
      <c r="N730" s="1"/>
      <c r="O730" s="1"/>
      <c r="P730" s="1"/>
    </row>
    <row r="731" spans="4:16" ht="18.75" x14ac:dyDescent="0.25">
      <c r="D731" s="72" t="s">
        <v>1165</v>
      </c>
      <c r="E731" s="72" t="s">
        <v>492</v>
      </c>
      <c r="F731" s="72" t="s">
        <v>1166</v>
      </c>
      <c r="G731" s="1"/>
      <c r="H731" s="1"/>
      <c r="I731" s="1"/>
      <c r="J731" s="1"/>
      <c r="K731" s="1"/>
      <c r="L731" s="1"/>
      <c r="M731" s="1"/>
      <c r="N731" s="1"/>
      <c r="O731" s="1"/>
      <c r="P731" s="1"/>
    </row>
    <row r="732" spans="4:16" ht="18.75" customHeight="1" x14ac:dyDescent="0.25">
      <c r="D732" s="72" t="s">
        <v>1167</v>
      </c>
      <c r="E732" s="72" t="s">
        <v>1168</v>
      </c>
      <c r="F732" s="72" t="s">
        <v>1169</v>
      </c>
      <c r="G732" s="1"/>
      <c r="H732" s="1"/>
      <c r="I732" s="1"/>
      <c r="J732" s="1"/>
      <c r="K732" s="1"/>
      <c r="L732" s="1"/>
      <c r="M732" s="1"/>
      <c r="N732" s="1"/>
      <c r="O732" s="1"/>
      <c r="P732" s="1"/>
    </row>
    <row r="733" spans="4:16" ht="18.75" customHeight="1" x14ac:dyDescent="0.3">
      <c r="D733" s="63" t="s">
        <v>1170</v>
      </c>
      <c r="E733" s="63" t="s">
        <v>5</v>
      </c>
      <c r="F733" s="72" t="s">
        <v>1171</v>
      </c>
      <c r="G733" s="1"/>
      <c r="H733" s="1"/>
      <c r="I733" s="1"/>
      <c r="J733" s="1"/>
      <c r="K733" s="1"/>
      <c r="L733" s="1"/>
      <c r="M733" s="1"/>
      <c r="N733" s="1"/>
      <c r="O733" s="1"/>
      <c r="P733" s="1"/>
    </row>
    <row r="734" spans="4:16" ht="18.75" customHeight="1" x14ac:dyDescent="0.25">
      <c r="D734" s="72" t="s">
        <v>1172</v>
      </c>
      <c r="E734" s="72" t="s">
        <v>492</v>
      </c>
      <c r="F734" s="72" t="s">
        <v>1173</v>
      </c>
      <c r="G734" s="1"/>
      <c r="H734" s="1"/>
      <c r="I734" s="1"/>
      <c r="J734" s="1"/>
      <c r="K734" s="1"/>
      <c r="L734" s="1"/>
      <c r="M734" s="1"/>
      <c r="N734" s="1"/>
      <c r="O734" s="1"/>
      <c r="P734" s="1"/>
    </row>
    <row r="735" spans="4:16" ht="18.75" x14ac:dyDescent="0.3">
      <c r="D735" s="63" t="s">
        <v>1174</v>
      </c>
      <c r="E735" s="63" t="s">
        <v>455</v>
      </c>
      <c r="F735" s="72" t="s">
        <v>1175</v>
      </c>
      <c r="G735" s="1"/>
      <c r="H735" s="1"/>
      <c r="I735" s="1"/>
      <c r="J735" s="1"/>
      <c r="K735" s="1"/>
      <c r="L735" s="1"/>
      <c r="M735" s="1"/>
      <c r="N735" s="1"/>
      <c r="O735" s="1"/>
      <c r="P735" s="1"/>
    </row>
    <row r="736" spans="4:16" ht="18.75" x14ac:dyDescent="0.3">
      <c r="D736" s="69" t="s">
        <v>1176</v>
      </c>
      <c r="E736" s="69" t="s">
        <v>5</v>
      </c>
      <c r="F736" s="72" t="s">
        <v>1177</v>
      </c>
      <c r="G736" s="1"/>
      <c r="H736" s="1"/>
      <c r="I736" s="1"/>
      <c r="J736" s="1"/>
      <c r="K736" s="1"/>
      <c r="L736" s="1"/>
      <c r="M736" s="1"/>
      <c r="N736" s="1"/>
      <c r="O736" s="1"/>
      <c r="P736" s="1"/>
    </row>
    <row r="737" spans="4:16" ht="18.75" x14ac:dyDescent="0.3">
      <c r="D737" s="69" t="s">
        <v>1178</v>
      </c>
      <c r="E737" s="69" t="s">
        <v>477</v>
      </c>
      <c r="F737" s="72" t="s">
        <v>1179</v>
      </c>
      <c r="G737" s="1"/>
      <c r="H737" s="1"/>
      <c r="I737" s="1"/>
      <c r="J737" s="1"/>
      <c r="K737" s="1"/>
      <c r="L737" s="1"/>
      <c r="M737" s="1"/>
      <c r="N737" s="1"/>
      <c r="O737" s="1"/>
      <c r="P737" s="1"/>
    </row>
    <row r="738" spans="4:16" ht="18.75" x14ac:dyDescent="0.3">
      <c r="D738" s="63" t="s">
        <v>1180</v>
      </c>
      <c r="E738" s="63" t="s">
        <v>5</v>
      </c>
      <c r="F738" s="72" t="s">
        <v>1181</v>
      </c>
      <c r="G738" s="1"/>
      <c r="H738" s="1"/>
      <c r="I738" s="1"/>
      <c r="J738" s="1"/>
      <c r="K738" s="1"/>
      <c r="L738" s="1"/>
      <c r="M738" s="1"/>
      <c r="N738" s="1"/>
      <c r="O738" s="1"/>
      <c r="P738" s="1"/>
    </row>
    <row r="739" spans="4:16" ht="18.75" x14ac:dyDescent="0.3">
      <c r="D739" s="63" t="s">
        <v>1182</v>
      </c>
      <c r="E739" s="63" t="s">
        <v>480</v>
      </c>
      <c r="F739" s="72" t="s">
        <v>1183</v>
      </c>
      <c r="G739" s="1"/>
      <c r="H739" s="1"/>
      <c r="I739" s="1"/>
      <c r="J739" s="1"/>
      <c r="K739" s="1"/>
      <c r="L739" s="1"/>
      <c r="M739" s="1"/>
      <c r="N739" s="1"/>
      <c r="O739" s="1"/>
      <c r="P739" s="1"/>
    </row>
    <row r="740" spans="4:16" ht="18.75" customHeight="1" x14ac:dyDescent="0.3">
      <c r="D740" s="63" t="s">
        <v>1184</v>
      </c>
      <c r="E740" s="63" t="s">
        <v>492</v>
      </c>
      <c r="F740" s="72" t="s">
        <v>1185</v>
      </c>
      <c r="G740" s="1"/>
      <c r="H740" s="1"/>
      <c r="I740" s="1"/>
      <c r="J740" s="1"/>
      <c r="K740" s="1"/>
      <c r="L740" s="1"/>
      <c r="M740" s="1"/>
      <c r="N740" s="1"/>
      <c r="O740" s="1"/>
      <c r="P740" s="1"/>
    </row>
    <row r="741" spans="4:16" ht="18.75" customHeight="1" x14ac:dyDescent="0.25">
      <c r="D741" s="72" t="s">
        <v>1186</v>
      </c>
      <c r="E741" s="72" t="s">
        <v>492</v>
      </c>
      <c r="F741" s="72" t="s">
        <v>1187</v>
      </c>
      <c r="G741" s="1"/>
      <c r="H741" s="1"/>
      <c r="I741" s="1"/>
      <c r="J741" s="1"/>
      <c r="K741" s="1"/>
      <c r="L741" s="1"/>
      <c r="M741" s="1"/>
      <c r="N741" s="1"/>
      <c r="O741" s="1"/>
      <c r="P741" s="1"/>
    </row>
    <row r="742" spans="4:16" ht="18.75" customHeight="1" x14ac:dyDescent="0.3">
      <c r="D742" s="63" t="s">
        <v>1188</v>
      </c>
      <c r="E742" s="63" t="s">
        <v>463</v>
      </c>
      <c r="F742" s="72" t="s">
        <v>1189</v>
      </c>
      <c r="G742" s="1"/>
      <c r="H742" s="1"/>
      <c r="I742" s="1"/>
      <c r="J742" s="1"/>
      <c r="K742" s="1"/>
      <c r="L742" s="1"/>
      <c r="M742" s="1"/>
      <c r="N742" s="1"/>
      <c r="O742" s="1"/>
      <c r="P742" s="1"/>
    </row>
    <row r="743" spans="4:16" ht="18.75" customHeight="1" x14ac:dyDescent="0.25">
      <c r="D743" s="72" t="s">
        <v>1190</v>
      </c>
      <c r="E743" s="72" t="s">
        <v>515</v>
      </c>
      <c r="F743" s="72" t="s">
        <v>1191</v>
      </c>
      <c r="G743" s="1"/>
      <c r="H743" s="1"/>
      <c r="I743" s="1"/>
      <c r="J743" s="1"/>
      <c r="K743" s="1"/>
      <c r="L743" s="1"/>
      <c r="M743" s="1"/>
      <c r="N743" s="1"/>
      <c r="O743" s="1"/>
      <c r="P743" s="1"/>
    </row>
    <row r="744" spans="4:16" ht="18.75" x14ac:dyDescent="0.3">
      <c r="D744" s="69" t="s">
        <v>1192</v>
      </c>
      <c r="E744" s="69" t="s">
        <v>16</v>
      </c>
      <c r="F744" s="72" t="s">
        <v>1193</v>
      </c>
      <c r="G744" s="1"/>
      <c r="H744" s="1"/>
      <c r="I744" s="1"/>
      <c r="J744" s="1"/>
      <c r="K744" s="1"/>
      <c r="L744" s="1"/>
      <c r="M744" s="1"/>
      <c r="N744" s="1"/>
      <c r="O744" s="1"/>
      <c r="P744" s="1"/>
    </row>
    <row r="745" spans="4:16" ht="18.75" x14ac:dyDescent="0.3">
      <c r="D745" s="69" t="s">
        <v>1194</v>
      </c>
      <c r="E745" s="69" t="s">
        <v>16</v>
      </c>
      <c r="F745" s="72" t="s">
        <v>1195</v>
      </c>
      <c r="G745" s="1"/>
      <c r="H745" s="1"/>
      <c r="I745" s="1"/>
      <c r="J745" s="1"/>
      <c r="K745" s="1"/>
      <c r="L745" s="1"/>
      <c r="M745" s="1"/>
      <c r="N745" s="1"/>
      <c r="O745" s="1"/>
      <c r="P745" s="1"/>
    </row>
    <row r="746" spans="4:16" ht="18.75" x14ac:dyDescent="0.3">
      <c r="D746" s="69" t="s">
        <v>1196</v>
      </c>
      <c r="E746" s="69" t="s">
        <v>18</v>
      </c>
      <c r="F746" s="72" t="s">
        <v>1197</v>
      </c>
      <c r="G746" s="1"/>
      <c r="H746" s="1"/>
      <c r="I746" s="1"/>
      <c r="J746" s="1"/>
      <c r="K746" s="1"/>
      <c r="L746" s="1"/>
      <c r="M746" s="1"/>
      <c r="N746" s="1"/>
      <c r="O746" s="1"/>
      <c r="P746" s="1"/>
    </row>
    <row r="747" spans="4:16" ht="18.75" customHeight="1" x14ac:dyDescent="0.3">
      <c r="D747" s="69" t="s">
        <v>1198</v>
      </c>
      <c r="E747" s="69" t="s">
        <v>31</v>
      </c>
      <c r="F747" s="72" t="s">
        <v>1199</v>
      </c>
      <c r="G747" s="1"/>
      <c r="H747" s="1"/>
      <c r="I747" s="1"/>
      <c r="J747" s="1"/>
      <c r="K747" s="1"/>
      <c r="L747" s="1"/>
      <c r="M747" s="1"/>
      <c r="N747" s="1"/>
      <c r="O747" s="1"/>
      <c r="P747" s="1"/>
    </row>
    <row r="748" spans="4:16" ht="18.75" customHeight="1" x14ac:dyDescent="0.25">
      <c r="D748" s="72" t="s">
        <v>1200</v>
      </c>
      <c r="E748" s="72" t="s">
        <v>455</v>
      </c>
      <c r="F748" s="72" t="s">
        <v>1201</v>
      </c>
      <c r="G748" s="1"/>
      <c r="H748" s="1"/>
      <c r="I748" s="1"/>
      <c r="J748" s="1"/>
      <c r="K748" s="1"/>
      <c r="L748" s="1"/>
      <c r="M748" s="1"/>
      <c r="N748" s="1"/>
      <c r="O748" s="1"/>
      <c r="P748" s="1"/>
    </row>
    <row r="749" spans="4:16" ht="18.75" x14ac:dyDescent="0.3">
      <c r="D749" s="63" t="s">
        <v>1202</v>
      </c>
      <c r="E749" s="63" t="s">
        <v>492</v>
      </c>
      <c r="F749" s="72" t="s">
        <v>1203</v>
      </c>
      <c r="G749" s="1"/>
      <c r="H749" s="1"/>
      <c r="I749" s="1"/>
      <c r="J749" s="1"/>
      <c r="K749" s="1"/>
      <c r="L749" s="1"/>
      <c r="M749" s="1"/>
      <c r="N749" s="1"/>
      <c r="O749" s="1"/>
      <c r="P749" s="1"/>
    </row>
    <row r="750" spans="4:16" ht="18.75" x14ac:dyDescent="0.3">
      <c r="D750" s="69" t="s">
        <v>1204</v>
      </c>
      <c r="E750" s="69" t="s">
        <v>11</v>
      </c>
      <c r="F750" s="72" t="s">
        <v>1205</v>
      </c>
      <c r="G750" s="1"/>
      <c r="H750" s="1"/>
      <c r="I750" s="1"/>
      <c r="J750" s="1"/>
      <c r="K750" s="1"/>
      <c r="L750" s="1"/>
      <c r="M750" s="1"/>
      <c r="N750" s="1"/>
      <c r="O750" s="1"/>
      <c r="P750" s="1"/>
    </row>
    <row r="751" spans="4:16" ht="18.75" x14ac:dyDescent="0.3">
      <c r="D751" s="63" t="s">
        <v>1206</v>
      </c>
      <c r="E751" s="63" t="s">
        <v>7</v>
      </c>
      <c r="F751" s="72" t="s">
        <v>1207</v>
      </c>
      <c r="G751" s="1"/>
      <c r="H751" s="1"/>
      <c r="I751" s="1"/>
      <c r="J751" s="1"/>
      <c r="K751" s="1"/>
      <c r="L751" s="1"/>
      <c r="M751" s="1"/>
      <c r="N751" s="1"/>
      <c r="O751" s="1"/>
      <c r="P751" s="1"/>
    </row>
    <row r="752" spans="4:16" ht="18.75" x14ac:dyDescent="0.3">
      <c r="D752" s="63" t="s">
        <v>1208</v>
      </c>
      <c r="E752" s="63" t="s">
        <v>16</v>
      </c>
      <c r="F752" s="72" t="s">
        <v>1209</v>
      </c>
      <c r="G752" s="1"/>
      <c r="H752" s="1"/>
      <c r="I752" s="1"/>
      <c r="J752" s="1"/>
      <c r="K752" s="1"/>
      <c r="L752" s="1"/>
      <c r="M752" s="1"/>
      <c r="N752" s="1"/>
      <c r="O752" s="1"/>
      <c r="P752" s="1"/>
    </row>
    <row r="753" spans="4:16" ht="18.75" x14ac:dyDescent="0.3">
      <c r="D753" s="69" t="s">
        <v>1210</v>
      </c>
      <c r="E753" s="69" t="s">
        <v>477</v>
      </c>
      <c r="F753" s="72" t="s">
        <v>1211</v>
      </c>
      <c r="G753" s="1"/>
      <c r="H753" s="1"/>
      <c r="I753" s="1"/>
      <c r="J753" s="1"/>
      <c r="K753" s="1"/>
      <c r="L753" s="1"/>
      <c r="M753" s="1"/>
      <c r="N753" s="1"/>
      <c r="O753" s="1"/>
      <c r="P753" s="1"/>
    </row>
    <row r="754" spans="4:16" ht="18.75" x14ac:dyDescent="0.3">
      <c r="D754" s="63" t="s">
        <v>1212</v>
      </c>
      <c r="E754" s="63" t="s">
        <v>5</v>
      </c>
      <c r="F754" s="72" t="s">
        <v>1213</v>
      </c>
      <c r="G754" s="1"/>
      <c r="H754" s="1"/>
      <c r="I754" s="1"/>
      <c r="J754" s="1"/>
      <c r="K754" s="1"/>
      <c r="L754" s="1"/>
      <c r="M754" s="1"/>
      <c r="N754" s="1"/>
      <c r="O754" s="1"/>
      <c r="P754" s="1"/>
    </row>
    <row r="755" spans="4:16" ht="18.75" x14ac:dyDescent="0.3">
      <c r="D755" s="63" t="s">
        <v>1214</v>
      </c>
      <c r="E755" s="63" t="s">
        <v>524</v>
      </c>
      <c r="F755" s="72" t="s">
        <v>1215</v>
      </c>
      <c r="G755" s="1"/>
      <c r="H755" s="1"/>
      <c r="I755" s="1"/>
      <c r="J755" s="1"/>
      <c r="K755" s="1"/>
      <c r="L755" s="1"/>
      <c r="M755" s="1"/>
      <c r="N755" s="1"/>
      <c r="O755" s="1"/>
      <c r="P755" s="1"/>
    </row>
    <row r="756" spans="4:16" ht="18.75" x14ac:dyDescent="0.3">
      <c r="D756" s="63" t="s">
        <v>1216</v>
      </c>
      <c r="E756" s="63" t="s">
        <v>463</v>
      </c>
      <c r="F756" s="72" t="s">
        <v>1217</v>
      </c>
      <c r="G756" s="1"/>
      <c r="H756" s="1"/>
      <c r="I756" s="1"/>
      <c r="J756" s="1"/>
      <c r="K756" s="1"/>
      <c r="L756" s="1"/>
      <c r="M756" s="1"/>
      <c r="N756" s="1"/>
      <c r="O756" s="1"/>
      <c r="P756" s="1"/>
    </row>
    <row r="757" spans="4:16" ht="18.75" x14ac:dyDescent="0.3">
      <c r="D757" s="63" t="s">
        <v>1218</v>
      </c>
      <c r="E757" s="63" t="s">
        <v>11</v>
      </c>
      <c r="F757" s="72" t="s">
        <v>1219</v>
      </c>
      <c r="G757" s="1"/>
      <c r="H757" s="1"/>
      <c r="I757" s="1"/>
      <c r="J757" s="1"/>
      <c r="K757" s="1"/>
      <c r="L757" s="1"/>
      <c r="M757" s="1"/>
      <c r="N757" s="1"/>
      <c r="O757" s="1"/>
      <c r="P757" s="1"/>
    </row>
    <row r="758" spans="4:16" ht="18.75" x14ac:dyDescent="0.3">
      <c r="D758" s="63" t="s">
        <v>1220</v>
      </c>
      <c r="E758" s="63" t="s">
        <v>480</v>
      </c>
      <c r="F758" s="72" t="s">
        <v>1221</v>
      </c>
      <c r="G758" s="1"/>
      <c r="H758" s="1"/>
      <c r="I758" s="1"/>
      <c r="J758" s="1"/>
      <c r="K758" s="1"/>
      <c r="L758" s="1"/>
      <c r="M758" s="1"/>
      <c r="N758" s="1"/>
      <c r="O758" s="1"/>
      <c r="P758" s="1"/>
    </row>
    <row r="759" spans="4:16" ht="18.75" x14ac:dyDescent="0.3">
      <c r="D759" s="69" t="s">
        <v>1222</v>
      </c>
      <c r="E759" s="69" t="s">
        <v>7</v>
      </c>
      <c r="F759" s="72" t="s">
        <v>1223</v>
      </c>
      <c r="G759" s="1"/>
      <c r="H759" s="1"/>
      <c r="I759" s="1"/>
      <c r="J759" s="1"/>
      <c r="K759" s="1"/>
      <c r="L759" s="1"/>
      <c r="M759" s="1"/>
      <c r="N759" s="1"/>
      <c r="O759" s="1"/>
      <c r="P759" s="1"/>
    </row>
    <row r="760" spans="4:16" ht="18.75" x14ac:dyDescent="0.3">
      <c r="D760" s="69" t="s">
        <v>1224</v>
      </c>
      <c r="E760" s="69"/>
      <c r="F760" s="72" t="s">
        <v>1225</v>
      </c>
      <c r="G760" s="1"/>
      <c r="H760" s="1"/>
      <c r="I760" s="1"/>
      <c r="J760" s="1"/>
      <c r="K760" s="1"/>
      <c r="L760" s="1"/>
      <c r="M760" s="1"/>
      <c r="N760" s="1"/>
      <c r="O760" s="1"/>
      <c r="P760" s="1"/>
    </row>
    <row r="761" spans="4:16" ht="18.75" x14ac:dyDescent="0.3">
      <c r="D761" s="69" t="s">
        <v>1226</v>
      </c>
      <c r="E761" s="69" t="s">
        <v>31</v>
      </c>
      <c r="F761" s="72" t="s">
        <v>1227</v>
      </c>
      <c r="G761" s="1"/>
      <c r="H761" s="1"/>
      <c r="I761" s="1"/>
      <c r="J761" s="1"/>
      <c r="K761" s="1"/>
      <c r="L761" s="1"/>
      <c r="M761" s="1"/>
      <c r="N761" s="1"/>
      <c r="O761" s="1"/>
      <c r="P761" s="1"/>
    </row>
    <row r="762" spans="4:16" ht="18.75" x14ac:dyDescent="0.3">
      <c r="D762" s="69" t="s">
        <v>1228</v>
      </c>
      <c r="E762" s="69" t="s">
        <v>11</v>
      </c>
      <c r="F762" s="72" t="s">
        <v>1229</v>
      </c>
      <c r="G762" s="1"/>
      <c r="H762" s="1"/>
      <c r="I762" s="1"/>
      <c r="J762" s="1"/>
      <c r="K762" s="1"/>
      <c r="L762" s="1"/>
      <c r="M762" s="1"/>
      <c r="N762" s="1"/>
      <c r="O762" s="1"/>
      <c r="P762" s="1"/>
    </row>
    <row r="763" spans="4:16" ht="18.75" x14ac:dyDescent="0.3">
      <c r="D763" s="69" t="s">
        <v>1230</v>
      </c>
      <c r="E763" s="69" t="s">
        <v>26</v>
      </c>
      <c r="F763" s="72" t="s">
        <v>1231</v>
      </c>
      <c r="G763" s="1"/>
      <c r="H763" s="1"/>
      <c r="I763" s="1"/>
      <c r="J763" s="1"/>
      <c r="K763" s="1"/>
      <c r="L763" s="1"/>
      <c r="M763" s="1"/>
      <c r="N763" s="1"/>
      <c r="O763" s="1"/>
      <c r="P763" s="1"/>
    </row>
    <row r="764" spans="4:16" ht="18.75" x14ac:dyDescent="0.3">
      <c r="D764" s="63" t="s">
        <v>1232</v>
      </c>
      <c r="E764" s="63" t="s">
        <v>480</v>
      </c>
      <c r="F764" s="72" t="s">
        <v>1233</v>
      </c>
      <c r="G764" s="1"/>
      <c r="H764" s="1"/>
      <c r="I764" s="1"/>
      <c r="J764" s="1"/>
      <c r="K764" s="1"/>
      <c r="L764" s="1"/>
      <c r="M764" s="1"/>
      <c r="N764" s="1"/>
      <c r="O764" s="1"/>
      <c r="P764" s="1"/>
    </row>
    <row r="765" spans="4:16" ht="18.75" x14ac:dyDescent="0.3">
      <c r="D765" s="63" t="s">
        <v>1234</v>
      </c>
      <c r="E765" s="63"/>
      <c r="F765" s="72" t="s">
        <v>1235</v>
      </c>
      <c r="G765" s="1"/>
      <c r="H765" s="1"/>
      <c r="I765" s="1"/>
      <c r="J765" s="1"/>
      <c r="K765" s="1"/>
      <c r="L765" s="1"/>
      <c r="M765" s="1"/>
      <c r="N765" s="1"/>
      <c r="O765" s="1"/>
      <c r="P765" s="1"/>
    </row>
    <row r="766" spans="4:16" ht="18.75" x14ac:dyDescent="0.3">
      <c r="D766" s="69" t="s">
        <v>1236</v>
      </c>
      <c r="E766" s="69" t="s">
        <v>11</v>
      </c>
      <c r="F766" s="72" t="s">
        <v>1237</v>
      </c>
      <c r="G766" s="1"/>
      <c r="H766" s="1"/>
      <c r="I766" s="1"/>
      <c r="J766" s="1"/>
      <c r="K766" s="1"/>
      <c r="L766" s="1"/>
      <c r="M766" s="1"/>
      <c r="N766" s="1"/>
      <c r="O766" s="1"/>
      <c r="P766" s="1"/>
    </row>
    <row r="767" spans="4:16" ht="18.75" x14ac:dyDescent="0.3">
      <c r="D767" s="63" t="s">
        <v>1238</v>
      </c>
      <c r="E767" s="63" t="s">
        <v>515</v>
      </c>
      <c r="F767" s="72" t="s">
        <v>1239</v>
      </c>
      <c r="G767" s="1"/>
      <c r="H767" s="1"/>
      <c r="I767" s="1"/>
      <c r="J767" s="1"/>
      <c r="K767" s="1"/>
      <c r="L767" s="1"/>
      <c r="M767" s="1"/>
      <c r="N767" s="1"/>
      <c r="O767" s="1"/>
      <c r="P767" s="1"/>
    </row>
    <row r="768" spans="4:16" ht="18.75" x14ac:dyDescent="0.3">
      <c r="D768" s="63" t="s">
        <v>1240</v>
      </c>
      <c r="E768" s="63" t="s">
        <v>742</v>
      </c>
      <c r="F768" s="72" t="s">
        <v>1241</v>
      </c>
      <c r="G768" s="1"/>
      <c r="H768" s="1"/>
      <c r="I768" s="1"/>
      <c r="J768" s="1"/>
      <c r="K768" s="1"/>
      <c r="L768" s="1"/>
      <c r="M768" s="1"/>
      <c r="N768" s="1"/>
      <c r="O768" s="1"/>
      <c r="P768" s="1"/>
    </row>
    <row r="769" spans="4:16" ht="18.75" x14ac:dyDescent="0.3">
      <c r="D769" s="63" t="s">
        <v>1242</v>
      </c>
      <c r="E769" s="63" t="s">
        <v>11</v>
      </c>
      <c r="F769" s="72" t="s">
        <v>1243</v>
      </c>
      <c r="G769" s="1"/>
      <c r="H769" s="1"/>
      <c r="I769" s="1"/>
      <c r="J769" s="1"/>
      <c r="K769" s="1"/>
      <c r="L769" s="1"/>
      <c r="M769" s="1"/>
      <c r="N769" s="1"/>
      <c r="O769" s="1"/>
      <c r="P769" s="1"/>
    </row>
    <row r="770" spans="4:16" ht="18.75" x14ac:dyDescent="0.3">
      <c r="D770" s="69" t="s">
        <v>1244</v>
      </c>
      <c r="E770" s="69" t="s">
        <v>18</v>
      </c>
      <c r="F770" s="72" t="s">
        <v>1245</v>
      </c>
      <c r="G770" s="1"/>
      <c r="H770" s="1"/>
      <c r="I770" s="1"/>
      <c r="J770" s="1"/>
      <c r="K770" s="1"/>
      <c r="L770" s="1"/>
      <c r="M770" s="1"/>
      <c r="N770" s="1"/>
      <c r="O770" s="1"/>
      <c r="P770" s="1"/>
    </row>
    <row r="771" spans="4:16" ht="18.75" x14ac:dyDescent="0.3">
      <c r="D771" s="69" t="s">
        <v>1246</v>
      </c>
      <c r="E771" s="69" t="s">
        <v>16</v>
      </c>
      <c r="F771" s="72" t="s">
        <v>1247</v>
      </c>
      <c r="G771" s="1"/>
      <c r="H771" s="1"/>
      <c r="I771" s="1"/>
      <c r="J771" s="1"/>
      <c r="K771" s="1"/>
      <c r="L771" s="1"/>
      <c r="M771" s="1"/>
      <c r="N771" s="1"/>
      <c r="O771" s="1"/>
      <c r="P771" s="1"/>
    </row>
    <row r="772" spans="4:16" ht="18.75" x14ac:dyDescent="0.3">
      <c r="D772" s="63" t="s">
        <v>1250</v>
      </c>
      <c r="E772" s="63" t="s">
        <v>492</v>
      </c>
      <c r="F772" s="72" t="s">
        <v>1251</v>
      </c>
      <c r="G772" s="1"/>
      <c r="H772" s="1"/>
      <c r="I772" s="1"/>
      <c r="J772" s="1"/>
      <c r="K772" s="1"/>
      <c r="L772" s="1"/>
      <c r="M772" s="1"/>
      <c r="N772" s="1"/>
      <c r="O772" s="1"/>
      <c r="P772" s="1"/>
    </row>
    <row r="773" spans="4:16" ht="18.75" x14ac:dyDescent="0.3">
      <c r="D773" s="69" t="s">
        <v>1248</v>
      </c>
      <c r="E773" s="69" t="s">
        <v>467</v>
      </c>
      <c r="F773" s="72" t="s">
        <v>1249</v>
      </c>
      <c r="G773" s="1"/>
      <c r="H773" s="1"/>
      <c r="I773" s="1"/>
      <c r="J773" s="1"/>
      <c r="K773" s="1"/>
      <c r="L773" s="1"/>
      <c r="M773" s="1"/>
      <c r="N773" s="1"/>
      <c r="O773" s="1"/>
      <c r="P773" s="1"/>
    </row>
    <row r="774" spans="4:16" ht="18.75" x14ac:dyDescent="0.3">
      <c r="D774" s="63" t="s">
        <v>1252</v>
      </c>
      <c r="E774" s="63" t="s">
        <v>7</v>
      </c>
      <c r="F774" s="72" t="s">
        <v>1253</v>
      </c>
      <c r="G774" s="1"/>
      <c r="H774" s="1"/>
      <c r="I774" s="1"/>
      <c r="J774" s="1"/>
      <c r="K774" s="1"/>
      <c r="L774" s="1"/>
      <c r="M774" s="1"/>
      <c r="N774" s="1"/>
      <c r="O774" s="1"/>
      <c r="P774" s="1"/>
    </row>
    <row r="775" spans="4:16" ht="18.75" x14ac:dyDescent="0.3">
      <c r="D775" s="63" t="s">
        <v>1254</v>
      </c>
      <c r="E775" s="63" t="s">
        <v>515</v>
      </c>
      <c r="F775" s="72" t="s">
        <v>1255</v>
      </c>
      <c r="G775" s="1"/>
      <c r="H775" s="1"/>
      <c r="I775" s="1"/>
      <c r="J775" s="1"/>
      <c r="K775" s="1"/>
      <c r="L775" s="1"/>
      <c r="M775" s="1"/>
      <c r="N775" s="1"/>
      <c r="O775" s="1"/>
      <c r="P775" s="1"/>
    </row>
    <row r="776" spans="4:16" ht="18.75" x14ac:dyDescent="0.3">
      <c r="D776" s="63" t="s">
        <v>1256</v>
      </c>
      <c r="E776" s="63" t="s">
        <v>7</v>
      </c>
      <c r="F776" s="72" t="s">
        <v>1257</v>
      </c>
      <c r="G776" s="1"/>
      <c r="H776" s="1"/>
      <c r="I776" s="1"/>
      <c r="J776" s="1"/>
      <c r="K776" s="1"/>
      <c r="L776" s="1"/>
      <c r="M776" s="1"/>
      <c r="N776" s="1"/>
      <c r="O776" s="1"/>
      <c r="P776" s="1"/>
    </row>
    <row r="777" spans="4:16" ht="18.75" x14ac:dyDescent="0.3">
      <c r="D777" s="63" t="s">
        <v>1258</v>
      </c>
      <c r="E777" s="63" t="s">
        <v>5</v>
      </c>
      <c r="F777" s="72" t="s">
        <v>1259</v>
      </c>
      <c r="G777" s="1"/>
      <c r="H777" s="1"/>
      <c r="I777" s="1"/>
      <c r="J777" s="1"/>
      <c r="K777" s="1"/>
      <c r="L777" s="1"/>
      <c r="M777" s="1"/>
      <c r="N777" s="1"/>
      <c r="O777" s="1"/>
      <c r="P777" s="1"/>
    </row>
    <row r="778" spans="4:16" ht="18.75" x14ac:dyDescent="0.3">
      <c r="D778" s="63" t="s">
        <v>1260</v>
      </c>
      <c r="E778" s="63" t="s">
        <v>490</v>
      </c>
      <c r="F778" s="72" t="s">
        <v>1261</v>
      </c>
      <c r="G778" s="1"/>
      <c r="H778" s="1"/>
      <c r="I778" s="1"/>
      <c r="J778" s="1"/>
      <c r="K778" s="1"/>
      <c r="L778" s="1"/>
      <c r="M778" s="1"/>
      <c r="N778" s="1"/>
      <c r="O778" s="1"/>
      <c r="P778" s="1"/>
    </row>
    <row r="779" spans="4:16" ht="18.75" x14ac:dyDescent="0.3">
      <c r="D779" s="69" t="s">
        <v>1262</v>
      </c>
      <c r="E779" s="69" t="s">
        <v>18</v>
      </c>
      <c r="F779" s="72" t="s">
        <v>1263</v>
      </c>
      <c r="G779" s="1"/>
      <c r="H779" s="1"/>
      <c r="I779" s="1"/>
      <c r="J779" s="1"/>
      <c r="K779" s="1"/>
      <c r="L779" s="1"/>
      <c r="M779" s="1"/>
      <c r="N779" s="1"/>
      <c r="O779" s="1"/>
      <c r="P779" s="1"/>
    </row>
    <row r="780" spans="4:16" ht="18.75" x14ac:dyDescent="0.3">
      <c r="D780" s="63" t="s">
        <v>1264</v>
      </c>
      <c r="E780" s="63" t="s">
        <v>31</v>
      </c>
      <c r="F780" s="72" t="s">
        <v>1265</v>
      </c>
      <c r="G780" s="1"/>
      <c r="H780" s="1"/>
      <c r="I780" s="1"/>
      <c r="J780" s="1"/>
      <c r="K780" s="1"/>
      <c r="L780" s="1"/>
      <c r="M780" s="1"/>
      <c r="N780" s="1"/>
      <c r="O780" s="1"/>
      <c r="P780" s="1"/>
    </row>
    <row r="781" spans="4:16" ht="18.75" x14ac:dyDescent="0.3">
      <c r="D781" s="69" t="s">
        <v>1266</v>
      </c>
      <c r="E781" s="69" t="s">
        <v>31</v>
      </c>
      <c r="F781" s="72" t="s">
        <v>1267</v>
      </c>
      <c r="G781" s="1"/>
      <c r="H781" s="1"/>
      <c r="I781" s="1"/>
      <c r="J781" s="1"/>
      <c r="K781" s="1"/>
      <c r="L781" s="1"/>
      <c r="M781" s="1"/>
      <c r="N781" s="1"/>
      <c r="O781" s="1"/>
      <c r="P781" s="1"/>
    </row>
    <row r="782" spans="4:16" ht="18.75" x14ac:dyDescent="0.3">
      <c r="D782" s="69" t="s">
        <v>1268</v>
      </c>
      <c r="E782" s="69" t="s">
        <v>18</v>
      </c>
      <c r="F782" s="72" t="s">
        <v>1269</v>
      </c>
      <c r="G782" s="1"/>
      <c r="H782" s="1"/>
      <c r="I782" s="1"/>
      <c r="J782" s="1"/>
      <c r="K782" s="1"/>
      <c r="L782" s="1"/>
      <c r="M782" s="1"/>
      <c r="N782" s="1"/>
      <c r="O782" s="1"/>
      <c r="P782" s="1"/>
    </row>
    <row r="783" spans="4:16" ht="18.75" x14ac:dyDescent="0.3">
      <c r="D783" s="71" t="s">
        <v>1270</v>
      </c>
      <c r="E783" s="63"/>
      <c r="F783" s="72" t="s">
        <v>1271</v>
      </c>
      <c r="G783" s="1"/>
      <c r="H783" s="1"/>
      <c r="I783" s="1"/>
      <c r="J783" s="1"/>
      <c r="K783" s="1"/>
      <c r="L783" s="1"/>
      <c r="M783" s="1"/>
      <c r="N783" s="1"/>
      <c r="O783" s="1"/>
      <c r="P783" s="1"/>
    </row>
    <row r="784" spans="4:16" ht="18.75" x14ac:dyDescent="0.3">
      <c r="D784" s="63" t="s">
        <v>1272</v>
      </c>
      <c r="E784" s="63" t="s">
        <v>16</v>
      </c>
      <c r="F784" s="72" t="s">
        <v>1273</v>
      </c>
      <c r="G784" s="1"/>
      <c r="H784" s="1"/>
      <c r="I784" s="1"/>
      <c r="J784" s="1"/>
      <c r="K784" s="1"/>
      <c r="L784" s="1"/>
      <c r="M784" s="1"/>
      <c r="N784" s="1"/>
      <c r="O784" s="1"/>
      <c r="P784" s="1"/>
    </row>
    <row r="785" spans="4:16" ht="18.75" x14ac:dyDescent="0.3">
      <c r="D785" s="69" t="s">
        <v>1274</v>
      </c>
      <c r="E785" s="69" t="s">
        <v>7</v>
      </c>
      <c r="F785" s="72" t="s">
        <v>1275</v>
      </c>
      <c r="G785" s="1"/>
      <c r="H785" s="1"/>
      <c r="I785" s="1"/>
      <c r="J785" s="1"/>
      <c r="K785" s="1"/>
      <c r="L785" s="1"/>
      <c r="M785" s="1"/>
      <c r="N785" s="1"/>
      <c r="O785" s="1"/>
      <c r="P785" s="1"/>
    </row>
    <row r="786" spans="4:16" ht="18.75" x14ac:dyDescent="0.3">
      <c r="D786" s="69" t="s">
        <v>1276</v>
      </c>
      <c r="E786" s="69"/>
      <c r="F786" s="72" t="s">
        <v>1277</v>
      </c>
      <c r="G786" s="1"/>
      <c r="H786" s="1"/>
      <c r="I786" s="1"/>
      <c r="J786" s="1"/>
      <c r="K786" s="1"/>
      <c r="L786" s="1"/>
      <c r="M786" s="1"/>
      <c r="N786" s="1"/>
      <c r="O786" s="1"/>
      <c r="P786" s="1"/>
    </row>
    <row r="787" spans="4:16" ht="18.75" x14ac:dyDescent="0.3">
      <c r="D787" s="69" t="s">
        <v>1278</v>
      </c>
      <c r="E787" s="69" t="s">
        <v>31</v>
      </c>
      <c r="F787" s="72" t="s">
        <v>1279</v>
      </c>
      <c r="G787" s="1"/>
      <c r="H787" s="1"/>
      <c r="I787" s="1"/>
      <c r="J787" s="1"/>
      <c r="K787" s="1"/>
      <c r="L787" s="1"/>
      <c r="M787" s="1"/>
      <c r="N787" s="1"/>
      <c r="O787" s="1"/>
      <c r="P787" s="1"/>
    </row>
    <row r="788" spans="4:16" ht="18.75" x14ac:dyDescent="0.3">
      <c r="D788" s="63" t="s">
        <v>1280</v>
      </c>
      <c r="E788" s="63" t="s">
        <v>515</v>
      </c>
      <c r="F788" s="72" t="s">
        <v>1281</v>
      </c>
      <c r="G788" s="1"/>
      <c r="H788" s="1"/>
      <c r="I788" s="1"/>
      <c r="J788" s="1"/>
      <c r="K788" s="1"/>
      <c r="L788" s="1"/>
      <c r="M788" s="1"/>
      <c r="N788" s="1"/>
      <c r="O788" s="1"/>
      <c r="P788" s="1"/>
    </row>
    <row r="789" spans="4:16" ht="18.75" x14ac:dyDescent="0.3">
      <c r="D789" s="63" t="s">
        <v>1282</v>
      </c>
      <c r="E789" s="63" t="s">
        <v>490</v>
      </c>
      <c r="F789" s="72" t="s">
        <v>1283</v>
      </c>
      <c r="G789" s="1"/>
      <c r="H789" s="1"/>
      <c r="I789" s="1"/>
      <c r="J789" s="1"/>
      <c r="K789" s="1"/>
      <c r="L789" s="1"/>
      <c r="M789" s="1"/>
      <c r="N789" s="1"/>
      <c r="O789" s="1"/>
      <c r="P789" s="1"/>
    </row>
    <row r="790" spans="4:16" ht="18.75" customHeight="1" x14ac:dyDescent="0.3">
      <c r="D790" s="63" t="s">
        <v>1284</v>
      </c>
      <c r="E790" s="63" t="s">
        <v>1285</v>
      </c>
      <c r="F790" s="72" t="s">
        <v>1286</v>
      </c>
      <c r="G790" s="1"/>
      <c r="H790" s="1"/>
      <c r="I790" s="1"/>
      <c r="J790" s="1"/>
      <c r="K790" s="1"/>
      <c r="L790" s="1"/>
      <c r="M790" s="1"/>
      <c r="N790" s="1"/>
      <c r="O790" s="1"/>
      <c r="P790" s="1"/>
    </row>
    <row r="791" spans="4:16" ht="18.75" x14ac:dyDescent="0.25">
      <c r="D791" s="72" t="s">
        <v>1287</v>
      </c>
      <c r="E791" s="72"/>
      <c r="F791" s="72" t="s">
        <v>1288</v>
      </c>
      <c r="G791" s="1"/>
      <c r="H791" s="1"/>
      <c r="I791" s="1"/>
      <c r="J791" s="1"/>
      <c r="K791" s="1"/>
      <c r="L791" s="1"/>
      <c r="M791" s="1"/>
      <c r="N791" s="1"/>
      <c r="O791" s="1"/>
      <c r="P791" s="1"/>
    </row>
    <row r="792" spans="4:16" ht="18.75" customHeight="1" x14ac:dyDescent="0.25">
      <c r="D792" s="72" t="s">
        <v>1289</v>
      </c>
      <c r="E792" s="72" t="s">
        <v>492</v>
      </c>
      <c r="F792" s="72" t="s">
        <v>1290</v>
      </c>
      <c r="G792" s="1"/>
      <c r="H792" s="1"/>
      <c r="I792" s="1"/>
      <c r="J792" s="1"/>
      <c r="K792" s="1"/>
      <c r="L792" s="1"/>
      <c r="M792" s="1"/>
      <c r="N792" s="1"/>
      <c r="O792" s="1"/>
      <c r="P792" s="1"/>
    </row>
    <row r="793" spans="4:16" ht="18.75" x14ac:dyDescent="0.3">
      <c r="D793" s="63" t="s">
        <v>454</v>
      </c>
      <c r="E793" s="63" t="s">
        <v>455</v>
      </c>
      <c r="F793" s="72" t="s">
        <v>456</v>
      </c>
      <c r="G793" s="1"/>
      <c r="H793" s="1"/>
      <c r="I793" s="1"/>
      <c r="J793" s="1"/>
      <c r="K793" s="1"/>
      <c r="L793" s="1"/>
      <c r="M793" s="1"/>
      <c r="N793" s="1"/>
      <c r="O793" s="1"/>
      <c r="P793" s="1"/>
    </row>
    <row r="794" spans="4:16" ht="18.75" x14ac:dyDescent="0.3">
      <c r="D794" s="63" t="s">
        <v>1291</v>
      </c>
      <c r="E794" s="63" t="s">
        <v>490</v>
      </c>
      <c r="F794" s="72" t="s">
        <v>1292</v>
      </c>
      <c r="G794" s="1"/>
      <c r="H794" s="1"/>
      <c r="I794" s="1"/>
      <c r="J794" s="1"/>
      <c r="K794" s="1"/>
      <c r="L794" s="1"/>
      <c r="M794" s="1"/>
      <c r="N794" s="1"/>
      <c r="O794" s="1"/>
      <c r="P794" s="1"/>
    </row>
    <row r="795" spans="4:16" ht="18.75" x14ac:dyDescent="0.3">
      <c r="D795" s="69" t="s">
        <v>1293</v>
      </c>
      <c r="E795" s="69" t="s">
        <v>455</v>
      </c>
      <c r="F795" s="72" t="s">
        <v>1294</v>
      </c>
      <c r="G795" s="1"/>
      <c r="H795" s="1"/>
      <c r="I795" s="1"/>
      <c r="J795" s="1"/>
      <c r="K795" s="1"/>
      <c r="L795" s="1"/>
      <c r="M795" s="1"/>
      <c r="N795" s="1"/>
      <c r="O795" s="1"/>
      <c r="P795" s="1"/>
    </row>
    <row r="796" spans="4:16" ht="18.75" x14ac:dyDescent="0.3">
      <c r="D796" s="63" t="s">
        <v>1295</v>
      </c>
      <c r="E796" s="63">
        <v>5</v>
      </c>
      <c r="F796" s="72" t="s">
        <v>1296</v>
      </c>
      <c r="G796" s="1"/>
      <c r="H796" s="1"/>
      <c r="I796" s="1"/>
      <c r="J796" s="1"/>
      <c r="K796" s="1"/>
      <c r="L796" s="1"/>
      <c r="M796" s="1"/>
      <c r="N796" s="1"/>
      <c r="O796" s="1"/>
      <c r="P796" s="1"/>
    </row>
    <row r="797" spans="4:16" ht="18.75" x14ac:dyDescent="0.3">
      <c r="D797" s="69" t="s">
        <v>1297</v>
      </c>
      <c r="E797" s="69"/>
      <c r="F797" s="72" t="s">
        <v>1298</v>
      </c>
      <c r="G797" s="1"/>
      <c r="H797" s="1"/>
      <c r="I797" s="1"/>
      <c r="J797" s="1"/>
      <c r="K797" s="1"/>
      <c r="L797" s="1"/>
      <c r="M797" s="1"/>
      <c r="N797" s="1"/>
      <c r="O797" s="1"/>
      <c r="P797" s="1"/>
    </row>
    <row r="798" spans="4:16" ht="18.75" x14ac:dyDescent="0.3">
      <c r="D798" s="63" t="s">
        <v>1299</v>
      </c>
      <c r="E798" s="63" t="s">
        <v>5</v>
      </c>
      <c r="F798" s="72" t="s">
        <v>1300</v>
      </c>
      <c r="G798" s="1"/>
      <c r="H798" s="1"/>
      <c r="I798" s="1"/>
      <c r="J798" s="1"/>
      <c r="K798" s="1"/>
      <c r="L798" s="1"/>
      <c r="M798" s="1"/>
      <c r="N798" s="1"/>
      <c r="O798" s="1"/>
      <c r="P798" s="1"/>
    </row>
    <row r="799" spans="4:16" ht="18.75" x14ac:dyDescent="0.3">
      <c r="D799" s="69" t="s">
        <v>1301</v>
      </c>
      <c r="E799" s="69" t="s">
        <v>18</v>
      </c>
      <c r="F799" s="72" t="s">
        <v>1302</v>
      </c>
      <c r="G799" s="1"/>
      <c r="H799" s="1"/>
      <c r="I799" s="1"/>
      <c r="J799" s="1"/>
      <c r="K799" s="1"/>
      <c r="L799" s="1"/>
      <c r="M799" s="1"/>
      <c r="N799" s="1"/>
      <c r="O799" s="1"/>
      <c r="P799" s="1"/>
    </row>
    <row r="800" spans="4:16" ht="18.75" x14ac:dyDescent="0.3">
      <c r="D800" s="69" t="s">
        <v>1303</v>
      </c>
      <c r="E800" s="69" t="s">
        <v>18</v>
      </c>
      <c r="F800" s="72" t="s">
        <v>1304</v>
      </c>
      <c r="G800" s="1"/>
      <c r="H800" s="1"/>
      <c r="I800" s="1"/>
      <c r="J800" s="1"/>
      <c r="K800" s="1"/>
      <c r="L800" s="1"/>
      <c r="M800" s="1"/>
      <c r="N800" s="1"/>
      <c r="O800" s="1"/>
      <c r="P800" s="1"/>
    </row>
    <row r="801" spans="4:16" ht="18.75" x14ac:dyDescent="0.3">
      <c r="D801" s="63" t="s">
        <v>1305</v>
      </c>
      <c r="E801" s="63" t="s">
        <v>455</v>
      </c>
      <c r="F801" s="72" t="s">
        <v>1306</v>
      </c>
      <c r="G801" s="1"/>
      <c r="H801" s="1"/>
      <c r="I801" s="1"/>
      <c r="J801" s="1"/>
      <c r="K801" s="1"/>
      <c r="L801" s="1"/>
      <c r="M801" s="1"/>
      <c r="N801" s="1"/>
      <c r="O801" s="1"/>
      <c r="P801" s="1"/>
    </row>
    <row r="802" spans="4:16" ht="18.75" x14ac:dyDescent="0.3">
      <c r="D802" s="69" t="s">
        <v>1307</v>
      </c>
      <c r="E802" s="69" t="s">
        <v>18</v>
      </c>
      <c r="F802" s="72" t="s">
        <v>1308</v>
      </c>
      <c r="G802" s="1"/>
      <c r="H802" s="1"/>
      <c r="I802" s="1"/>
      <c r="J802" s="1"/>
      <c r="K802" s="1"/>
      <c r="L802" s="1"/>
      <c r="M802" s="1"/>
      <c r="N802" s="1"/>
      <c r="O802" s="1"/>
      <c r="P802" s="1"/>
    </row>
    <row r="803" spans="4:16" ht="18.75" x14ac:dyDescent="0.3">
      <c r="D803" s="69" t="s">
        <v>1309</v>
      </c>
      <c r="E803" s="69" t="s">
        <v>18</v>
      </c>
      <c r="F803" s="72" t="s">
        <v>1310</v>
      </c>
      <c r="G803" s="1"/>
      <c r="H803" s="1"/>
      <c r="I803" s="1"/>
      <c r="J803" s="1"/>
      <c r="K803" s="1"/>
      <c r="L803" s="1"/>
      <c r="M803" s="1"/>
      <c r="N803" s="1"/>
      <c r="O803" s="1"/>
      <c r="P803" s="1"/>
    </row>
    <row r="804" spans="4:16" ht="18.75" x14ac:dyDescent="0.3">
      <c r="D804" s="63" t="s">
        <v>1311</v>
      </c>
      <c r="E804" s="63" t="s">
        <v>455</v>
      </c>
      <c r="F804" s="72" t="s">
        <v>1312</v>
      </c>
      <c r="G804" s="1"/>
      <c r="H804" s="1"/>
      <c r="I804" s="1"/>
      <c r="J804" s="1"/>
      <c r="K804" s="1"/>
      <c r="L804" s="1"/>
      <c r="M804" s="1"/>
      <c r="N804" s="1"/>
      <c r="O804" s="1"/>
      <c r="P804" s="1"/>
    </row>
    <row r="805" spans="4:16" ht="18.75" x14ac:dyDescent="0.3">
      <c r="D805" s="63" t="s">
        <v>1313</v>
      </c>
      <c r="E805" s="74" t="s">
        <v>477</v>
      </c>
      <c r="F805" s="72" t="s">
        <v>1314</v>
      </c>
      <c r="G805" s="1"/>
      <c r="H805" s="1"/>
      <c r="I805" s="1"/>
      <c r="J805" s="1"/>
      <c r="K805" s="1"/>
      <c r="L805" s="1"/>
      <c r="M805" s="1"/>
      <c r="N805" s="1"/>
      <c r="O805" s="1"/>
      <c r="P805" s="1"/>
    </row>
    <row r="806" spans="4:16" ht="18.75" x14ac:dyDescent="0.3">
      <c r="D806" s="63" t="s">
        <v>1315</v>
      </c>
      <c r="E806" s="74"/>
      <c r="F806" s="72" t="s">
        <v>1316</v>
      </c>
      <c r="G806" s="1"/>
      <c r="H806" s="1"/>
      <c r="I806" s="1"/>
      <c r="J806" s="1"/>
      <c r="K806" s="1"/>
      <c r="L806" s="1"/>
      <c r="M806" s="1"/>
      <c r="N806" s="1"/>
      <c r="O806" s="1"/>
      <c r="P806" s="1"/>
    </row>
    <row r="807" spans="4:16" ht="18.75" x14ac:dyDescent="0.3">
      <c r="D807" s="63" t="s">
        <v>1317</v>
      </c>
      <c r="E807" s="74" t="s">
        <v>5</v>
      </c>
      <c r="F807" s="72" t="s">
        <v>1318</v>
      </c>
      <c r="G807" s="1"/>
      <c r="H807" s="1"/>
      <c r="I807" s="1"/>
      <c r="J807" s="1"/>
      <c r="K807" s="1"/>
      <c r="L807" s="1"/>
      <c r="M807" s="1"/>
      <c r="N807" s="1"/>
      <c r="O807" s="1"/>
      <c r="P807" s="1"/>
    </row>
    <row r="808" spans="4:16" ht="18.75" x14ac:dyDescent="0.3">
      <c r="D808" s="69" t="s">
        <v>1319</v>
      </c>
      <c r="E808" s="70" t="s">
        <v>18</v>
      </c>
      <c r="F808" s="72" t="s">
        <v>1320</v>
      </c>
      <c r="G808" s="1"/>
      <c r="H808" s="1"/>
      <c r="I808" s="1"/>
      <c r="J808" s="1"/>
      <c r="K808" s="1"/>
      <c r="L808" s="1"/>
      <c r="M808" s="1"/>
      <c r="N808" s="1"/>
      <c r="O808" s="1"/>
      <c r="P808" s="1"/>
    </row>
    <row r="809" spans="4:16" ht="18.75" x14ac:dyDescent="0.3">
      <c r="D809" s="63" t="s">
        <v>1321</v>
      </c>
      <c r="E809" s="63"/>
      <c r="F809" s="72" t="s">
        <v>1322</v>
      </c>
      <c r="G809" s="1"/>
      <c r="H809" s="1"/>
      <c r="I809" s="1"/>
      <c r="J809" s="1"/>
      <c r="K809" s="1"/>
      <c r="L809" s="1"/>
      <c r="M809" s="1"/>
      <c r="N809" s="1"/>
      <c r="O809" s="1"/>
      <c r="P809" s="1"/>
    </row>
    <row r="810" spans="4:16" ht="18.75" x14ac:dyDescent="0.3">
      <c r="D810" s="63" t="s">
        <v>1323</v>
      </c>
      <c r="E810" s="74" t="s">
        <v>11</v>
      </c>
      <c r="F810" s="72" t="s">
        <v>1324</v>
      </c>
      <c r="G810" s="1"/>
      <c r="H810" s="1"/>
      <c r="I810" s="1"/>
      <c r="J810" s="1"/>
      <c r="K810" s="1"/>
      <c r="L810" s="1"/>
      <c r="M810" s="1"/>
      <c r="N810" s="1"/>
      <c r="O810" s="1"/>
      <c r="P810" s="1"/>
    </row>
    <row r="811" spans="4:16" ht="18.75" x14ac:dyDescent="0.3">
      <c r="D811" s="63" t="s">
        <v>1325</v>
      </c>
      <c r="E811" s="74" t="s">
        <v>492</v>
      </c>
      <c r="F811" s="72" t="s">
        <v>1326</v>
      </c>
      <c r="G811" s="1"/>
      <c r="H811" s="1"/>
      <c r="I811" s="1"/>
      <c r="J811" s="1"/>
      <c r="K811" s="1"/>
      <c r="L811" s="1"/>
      <c r="M811" s="1"/>
      <c r="N811" s="1"/>
      <c r="O811" s="1"/>
      <c r="P811" s="1"/>
    </row>
    <row r="812" spans="4:16" ht="18.75" x14ac:dyDescent="0.3">
      <c r="D812" s="63" t="s">
        <v>1327</v>
      </c>
      <c r="E812" s="63" t="s">
        <v>492</v>
      </c>
      <c r="F812" s="72" t="s">
        <v>1328</v>
      </c>
      <c r="G812" s="1"/>
      <c r="H812" s="1"/>
      <c r="I812" s="1"/>
      <c r="J812" s="1"/>
      <c r="K812" s="1"/>
      <c r="L812" s="1"/>
      <c r="M812" s="1"/>
      <c r="N812" s="1"/>
      <c r="O812" s="1"/>
      <c r="P812" s="1"/>
    </row>
    <row r="813" spans="4:16" ht="18.75" x14ac:dyDescent="0.3">
      <c r="D813" s="63" t="s">
        <v>1329</v>
      </c>
      <c r="E813" s="74"/>
      <c r="F813" s="72" t="s">
        <v>1330</v>
      </c>
      <c r="G813" s="1"/>
      <c r="H813" s="1"/>
      <c r="I813" s="1"/>
      <c r="J813" s="1"/>
      <c r="K813" s="1"/>
      <c r="L813" s="1"/>
      <c r="M813" s="1"/>
      <c r="N813" s="1"/>
      <c r="O813" s="1"/>
      <c r="P813" s="1"/>
    </row>
    <row r="814" spans="4:16" ht="18.75" x14ac:dyDescent="0.3">
      <c r="D814" s="63" t="s">
        <v>1331</v>
      </c>
      <c r="E814" s="74" t="s">
        <v>490</v>
      </c>
      <c r="F814" s="72" t="s">
        <v>1332</v>
      </c>
      <c r="G814" s="1"/>
      <c r="H814" s="1"/>
      <c r="I814" s="1"/>
      <c r="J814" s="1"/>
      <c r="K814" s="1"/>
      <c r="L814" s="1"/>
      <c r="M814" s="1"/>
      <c r="N814" s="1"/>
      <c r="O814" s="1"/>
      <c r="P814" s="1"/>
    </row>
    <row r="815" spans="4:16" ht="18.75" x14ac:dyDescent="0.3">
      <c r="D815" s="69" t="s">
        <v>1333</v>
      </c>
      <c r="E815" s="70" t="s">
        <v>5</v>
      </c>
      <c r="F815" s="72" t="s">
        <v>1334</v>
      </c>
      <c r="G815" s="1"/>
      <c r="H815" s="1"/>
      <c r="I815" s="1"/>
      <c r="J815" s="1"/>
      <c r="K815" s="1"/>
      <c r="L815" s="1"/>
      <c r="M815" s="1"/>
      <c r="N815" s="1"/>
      <c r="O815" s="1"/>
      <c r="P815" s="1"/>
    </row>
    <row r="816" spans="4:16" ht="18.75" x14ac:dyDescent="0.3">
      <c r="D816" s="63" t="s">
        <v>1335</v>
      </c>
      <c r="E816" s="74" t="s">
        <v>7</v>
      </c>
      <c r="F816" s="72" t="s">
        <v>1336</v>
      </c>
      <c r="G816" s="1"/>
      <c r="H816" s="1"/>
      <c r="I816" s="1"/>
      <c r="J816" s="1"/>
      <c r="K816" s="1"/>
      <c r="L816" s="1"/>
      <c r="M816" s="1"/>
      <c r="N816" s="1"/>
      <c r="O816" s="1"/>
      <c r="P816" s="1"/>
    </row>
    <row r="817" spans="4:16" ht="18.75" x14ac:dyDescent="0.3">
      <c r="D817" s="63" t="s">
        <v>1337</v>
      </c>
      <c r="E817" s="63" t="s">
        <v>480</v>
      </c>
      <c r="F817" s="72" t="s">
        <v>1338</v>
      </c>
      <c r="G817" s="1"/>
      <c r="H817" s="1"/>
      <c r="I817" s="1"/>
      <c r="J817" s="1"/>
      <c r="K817" s="1"/>
      <c r="L817" s="1"/>
      <c r="M817" s="1"/>
      <c r="N817" s="1"/>
      <c r="O817" s="1"/>
      <c r="P817" s="1"/>
    </row>
    <row r="818" spans="4:16" ht="18.75" x14ac:dyDescent="0.3">
      <c r="D818" s="69" t="s">
        <v>1339</v>
      </c>
      <c r="E818" s="70" t="s">
        <v>18</v>
      </c>
      <c r="F818" s="72" t="s">
        <v>1340</v>
      </c>
      <c r="G818" s="1"/>
      <c r="H818" s="1"/>
      <c r="I818" s="1"/>
      <c r="J818" s="1"/>
      <c r="K818" s="1"/>
      <c r="L818" s="1"/>
      <c r="M818" s="1"/>
      <c r="N818" s="1"/>
      <c r="O818" s="1"/>
      <c r="P818" s="1"/>
    </row>
    <row r="819" spans="4:16" ht="18.75" x14ac:dyDescent="0.3">
      <c r="D819" s="63" t="s">
        <v>1341</v>
      </c>
      <c r="E819" s="63" t="s">
        <v>7</v>
      </c>
      <c r="F819" s="72" t="s">
        <v>1342</v>
      </c>
      <c r="G819" s="1"/>
      <c r="H819" s="1"/>
      <c r="I819" s="1"/>
      <c r="J819" s="1"/>
      <c r="K819" s="1"/>
      <c r="L819" s="1"/>
      <c r="M819" s="1"/>
      <c r="N819" s="1"/>
      <c r="O819" s="1"/>
      <c r="P819" s="1"/>
    </row>
    <row r="820" spans="4:16" ht="18.75" x14ac:dyDescent="0.3">
      <c r="D820" s="63" t="s">
        <v>1343</v>
      </c>
      <c r="E820" s="74" t="s">
        <v>515</v>
      </c>
      <c r="F820" s="72" t="s">
        <v>1344</v>
      </c>
      <c r="G820" s="1"/>
      <c r="H820" s="1"/>
      <c r="I820" s="1"/>
      <c r="J820" s="1"/>
      <c r="K820" s="1"/>
      <c r="L820" s="1"/>
      <c r="M820" s="1"/>
      <c r="N820" s="1"/>
      <c r="O820" s="1"/>
      <c r="P820" s="1"/>
    </row>
    <row r="821" spans="4:16" ht="18.75" x14ac:dyDescent="0.3">
      <c r="D821" s="69" t="s">
        <v>1345</v>
      </c>
      <c r="E821" s="70" t="s">
        <v>31</v>
      </c>
      <c r="F821" s="72" t="s">
        <v>1346</v>
      </c>
      <c r="G821" s="1"/>
      <c r="H821" s="1"/>
      <c r="I821" s="1"/>
      <c r="J821" s="1"/>
      <c r="K821" s="1"/>
      <c r="L821" s="1"/>
      <c r="M821" s="1"/>
      <c r="N821" s="1"/>
      <c r="O821" s="1"/>
      <c r="P821" s="1"/>
    </row>
    <row r="822" spans="4:16" ht="18.75" x14ac:dyDescent="0.3">
      <c r="D822" s="75" t="s">
        <v>1347</v>
      </c>
      <c r="E822" s="76" t="s">
        <v>26</v>
      </c>
      <c r="F822" s="72" t="s">
        <v>1348</v>
      </c>
      <c r="G822" s="1"/>
      <c r="H822" s="1"/>
      <c r="I822" s="1"/>
      <c r="J822" s="1"/>
      <c r="K822" s="1"/>
      <c r="L822" s="1"/>
      <c r="M822" s="1"/>
      <c r="N822" s="1"/>
      <c r="O822" s="1"/>
      <c r="P822" s="1"/>
    </row>
    <row r="823" spans="4:16" ht="18.75" x14ac:dyDescent="0.3">
      <c r="D823" s="75" t="s">
        <v>1349</v>
      </c>
      <c r="E823" s="75" t="s">
        <v>26</v>
      </c>
      <c r="F823" s="72" t="s">
        <v>1350</v>
      </c>
      <c r="G823" s="1"/>
      <c r="H823" s="1"/>
      <c r="I823" s="1"/>
      <c r="J823" s="1"/>
      <c r="K823" s="1"/>
      <c r="L823" s="1"/>
      <c r="M823" s="1"/>
      <c r="N823" s="1"/>
      <c r="O823" s="1"/>
      <c r="P823" s="1"/>
    </row>
    <row r="824" spans="4:16" ht="18.75" x14ac:dyDescent="0.3">
      <c r="D824" s="61" t="s">
        <v>1353</v>
      </c>
      <c r="E824" s="62" t="s">
        <v>1285</v>
      </c>
      <c r="F824" s="72" t="s">
        <v>1354</v>
      </c>
      <c r="G824" s="1"/>
      <c r="H824" s="1"/>
      <c r="I824" s="1"/>
      <c r="J824" s="1"/>
      <c r="K824" s="1"/>
      <c r="L824" s="1"/>
      <c r="M824" s="1"/>
      <c r="N824" s="1"/>
      <c r="O824" s="1"/>
      <c r="P824" s="1"/>
    </row>
    <row r="825" spans="4:16" ht="18.75" x14ac:dyDescent="0.3">
      <c r="D825" s="61" t="s">
        <v>1355</v>
      </c>
      <c r="E825" s="62" t="s">
        <v>515</v>
      </c>
      <c r="F825" s="72" t="s">
        <v>1356</v>
      </c>
      <c r="G825" s="1"/>
      <c r="H825" s="1"/>
      <c r="I825" s="1"/>
      <c r="J825" s="1"/>
      <c r="K825" s="1"/>
      <c r="L825" s="1"/>
      <c r="M825" s="1"/>
      <c r="N825" s="1"/>
      <c r="O825" s="1"/>
      <c r="P825" s="1"/>
    </row>
    <row r="826" spans="4:16" ht="18.75" x14ac:dyDescent="0.3">
      <c r="D826" s="61" t="s">
        <v>1357</v>
      </c>
      <c r="E826" s="62" t="s">
        <v>5</v>
      </c>
      <c r="F826" s="72" t="s">
        <v>1358</v>
      </c>
      <c r="G826" s="1"/>
      <c r="H826" s="1"/>
      <c r="I826" s="1"/>
      <c r="J826" s="1"/>
      <c r="K826" s="1"/>
      <c r="L826" s="1"/>
      <c r="M826" s="1"/>
      <c r="N826" s="1"/>
      <c r="O826" s="1"/>
      <c r="P826" s="1"/>
    </row>
    <row r="827" spans="4:16" ht="18.75" x14ac:dyDescent="0.3">
      <c r="D827" s="61" t="s">
        <v>1359</v>
      </c>
      <c r="E827" s="62" t="s">
        <v>524</v>
      </c>
      <c r="F827" s="72" t="s">
        <v>1360</v>
      </c>
      <c r="G827" s="1"/>
      <c r="H827" s="1"/>
      <c r="I827" s="1"/>
      <c r="J827" s="1"/>
      <c r="K827" s="1"/>
      <c r="L827" s="1"/>
      <c r="M827" s="1"/>
      <c r="N827" s="1"/>
      <c r="O827" s="1"/>
      <c r="P827" s="1"/>
    </row>
    <row r="828" spans="4:16" ht="18.75" x14ac:dyDescent="0.3">
      <c r="D828" s="75" t="s">
        <v>1361</v>
      </c>
      <c r="E828" s="76" t="s">
        <v>26</v>
      </c>
      <c r="F828" s="72" t="s">
        <v>1362</v>
      </c>
      <c r="G828" s="1"/>
      <c r="H828" s="1"/>
      <c r="I828" s="1"/>
      <c r="J828" s="1"/>
      <c r="K828" s="1"/>
      <c r="L828" s="1"/>
      <c r="M828" s="1"/>
      <c r="N828" s="1"/>
      <c r="O828" s="1"/>
      <c r="P828" s="1"/>
    </row>
    <row r="829" spans="4:16" ht="18.75" x14ac:dyDescent="0.3">
      <c r="D829" s="61" t="s">
        <v>1363</v>
      </c>
      <c r="E829" s="62" t="s">
        <v>7</v>
      </c>
      <c r="F829" s="72" t="s">
        <v>1364</v>
      </c>
      <c r="G829" s="1"/>
      <c r="H829" s="1"/>
      <c r="I829" s="1"/>
      <c r="J829" s="1"/>
      <c r="K829" s="1"/>
      <c r="L829" s="1"/>
      <c r="M829" s="1"/>
      <c r="N829" s="1"/>
      <c r="O829" s="1"/>
      <c r="P829" s="1"/>
    </row>
    <row r="830" spans="4:16" ht="18.75" x14ac:dyDescent="0.3">
      <c r="D830" s="75" t="s">
        <v>1365</v>
      </c>
      <c r="E830" s="76" t="s">
        <v>7</v>
      </c>
      <c r="F830" s="72" t="s">
        <v>1366</v>
      </c>
      <c r="G830" s="1"/>
      <c r="H830" s="1"/>
      <c r="I830" s="1"/>
      <c r="J830" s="1"/>
      <c r="K830" s="1"/>
      <c r="L830" s="1"/>
      <c r="M830" s="1"/>
      <c r="N830" s="1"/>
      <c r="O830" s="1"/>
      <c r="P830" s="1"/>
    </row>
    <row r="831" spans="4:16" ht="18.75" x14ac:dyDescent="0.3">
      <c r="D831" s="61" t="s">
        <v>1367</v>
      </c>
      <c r="E831" s="62" t="s">
        <v>11</v>
      </c>
      <c r="F831" s="72" t="s">
        <v>1368</v>
      </c>
      <c r="G831" s="1"/>
      <c r="H831" s="1"/>
      <c r="I831" s="1"/>
      <c r="J831" s="1"/>
      <c r="K831" s="1"/>
      <c r="L831" s="1"/>
      <c r="M831" s="1"/>
      <c r="N831" s="1"/>
      <c r="O831" s="1"/>
      <c r="P831" s="1"/>
    </row>
    <row r="832" spans="4:16" ht="18.75" x14ac:dyDescent="0.3">
      <c r="D832" s="61" t="s">
        <v>1351</v>
      </c>
      <c r="E832" s="62" t="s">
        <v>5</v>
      </c>
      <c r="F832" s="72" t="s">
        <v>1352</v>
      </c>
      <c r="G832" s="1"/>
      <c r="H832" s="1"/>
      <c r="I832" s="1"/>
      <c r="J832" s="1"/>
      <c r="K832" s="1"/>
      <c r="L832" s="1"/>
      <c r="M832" s="1"/>
      <c r="N832" s="1"/>
      <c r="O832" s="1"/>
      <c r="P832" s="1"/>
    </row>
    <row r="833" spans="4:16" ht="18.75" x14ac:dyDescent="0.3">
      <c r="D833" s="61" t="s">
        <v>1371</v>
      </c>
      <c r="E833" s="62" t="s">
        <v>467</v>
      </c>
      <c r="F833" s="72" t="s">
        <v>1372</v>
      </c>
      <c r="G833" s="1"/>
      <c r="H833" s="1"/>
      <c r="I833" s="1"/>
      <c r="J833" s="1"/>
      <c r="K833" s="1"/>
      <c r="L833" s="1"/>
      <c r="M833" s="1"/>
      <c r="N833" s="1"/>
      <c r="O833" s="1"/>
      <c r="P833" s="1"/>
    </row>
    <row r="834" spans="4:16" ht="18.75" x14ac:dyDescent="0.3">
      <c r="D834" s="61" t="s">
        <v>1373</v>
      </c>
      <c r="E834" s="62" t="s">
        <v>16</v>
      </c>
      <c r="F834" s="72" t="s">
        <v>1374</v>
      </c>
      <c r="G834" s="1"/>
      <c r="H834" s="1"/>
      <c r="I834" s="1"/>
      <c r="J834" s="1"/>
      <c r="K834" s="1"/>
      <c r="L834" s="1"/>
      <c r="M834" s="1"/>
      <c r="N834" s="1"/>
      <c r="O834" s="1"/>
      <c r="P834" s="1"/>
    </row>
    <row r="835" spans="4:16" ht="18.75" x14ac:dyDescent="0.3">
      <c r="D835" s="61" t="s">
        <v>1375</v>
      </c>
      <c r="E835" s="62" t="s">
        <v>455</v>
      </c>
      <c r="F835" s="72" t="s">
        <v>1376</v>
      </c>
      <c r="G835" s="1"/>
      <c r="H835" s="1"/>
      <c r="I835" s="1"/>
      <c r="J835" s="1"/>
      <c r="K835" s="1"/>
      <c r="L835" s="1"/>
      <c r="M835" s="1"/>
      <c r="N835" s="1"/>
      <c r="O835" s="1"/>
      <c r="P835" s="1"/>
    </row>
    <row r="836" spans="4:16" ht="18.75" x14ac:dyDescent="0.3">
      <c r="D836" s="61" t="s">
        <v>1377</v>
      </c>
      <c r="E836" s="62" t="s">
        <v>467</v>
      </c>
      <c r="F836" s="72" t="s">
        <v>1378</v>
      </c>
      <c r="G836" s="1"/>
      <c r="H836" s="1"/>
      <c r="I836" s="1"/>
      <c r="J836" s="1"/>
      <c r="K836" s="1"/>
      <c r="L836" s="1"/>
      <c r="M836" s="1"/>
      <c r="N836" s="1"/>
      <c r="O836" s="1"/>
      <c r="P836" s="1"/>
    </row>
    <row r="837" spans="4:16" ht="18.75" x14ac:dyDescent="0.3">
      <c r="D837" s="61" t="s">
        <v>1379</v>
      </c>
      <c r="E837" s="62" t="s">
        <v>5</v>
      </c>
      <c r="F837" s="72" t="s">
        <v>1380</v>
      </c>
      <c r="G837" s="1"/>
      <c r="H837" s="1"/>
      <c r="I837" s="1"/>
      <c r="J837" s="1"/>
      <c r="K837" s="1"/>
      <c r="L837" s="1"/>
      <c r="M837" s="1"/>
      <c r="N837" s="1"/>
      <c r="O837" s="1"/>
      <c r="P837" s="1"/>
    </row>
    <row r="838" spans="4:16" ht="18.75" x14ac:dyDescent="0.3">
      <c r="D838" s="63" t="s">
        <v>1369</v>
      </c>
      <c r="E838" s="63" t="s">
        <v>480</v>
      </c>
      <c r="F838" s="72" t="s">
        <v>1370</v>
      </c>
      <c r="G838" s="1"/>
      <c r="H838" s="1"/>
      <c r="I838" s="1"/>
      <c r="J838" s="1"/>
      <c r="K838" s="1"/>
      <c r="L838" s="1"/>
      <c r="M838" s="1"/>
      <c r="N838" s="1"/>
      <c r="O838" s="1"/>
      <c r="P838" s="1"/>
    </row>
    <row r="839" spans="4:16" ht="18.75" x14ac:dyDescent="0.3">
      <c r="D839" s="61" t="s">
        <v>1381</v>
      </c>
      <c r="E839" s="62" t="s">
        <v>31</v>
      </c>
      <c r="F839" s="72" t="s">
        <v>1382</v>
      </c>
      <c r="G839" s="1"/>
      <c r="H839" s="1"/>
      <c r="I839" s="1"/>
      <c r="J839" s="1"/>
      <c r="K839" s="1"/>
      <c r="L839" s="1"/>
      <c r="M839" s="1"/>
      <c r="N839" s="1"/>
      <c r="O839" s="1"/>
      <c r="P839" s="1"/>
    </row>
    <row r="840" spans="4:16" ht="18.75" x14ac:dyDescent="0.3">
      <c r="D840" s="61" t="s">
        <v>1383</v>
      </c>
      <c r="E840" s="62" t="s">
        <v>31</v>
      </c>
      <c r="F840" s="72" t="s">
        <v>1384</v>
      </c>
      <c r="G840" s="1"/>
      <c r="H840" s="1"/>
      <c r="I840" s="1"/>
      <c r="J840" s="1"/>
      <c r="K840" s="1"/>
      <c r="L840" s="1"/>
      <c r="M840" s="1"/>
      <c r="N840" s="1"/>
      <c r="O840" s="1"/>
      <c r="P840" s="1"/>
    </row>
    <row r="841" spans="4:16" ht="18.75" x14ac:dyDescent="0.3">
      <c r="D841" s="75" t="s">
        <v>1385</v>
      </c>
      <c r="E841" s="76" t="s">
        <v>26</v>
      </c>
      <c r="F841" s="72" t="s">
        <v>1386</v>
      </c>
      <c r="G841" s="1"/>
      <c r="H841" s="1"/>
      <c r="I841" s="1"/>
      <c r="J841" s="1"/>
      <c r="K841" s="1"/>
      <c r="L841" s="1"/>
      <c r="M841" s="1"/>
      <c r="N841" s="1"/>
      <c r="O841" s="1"/>
      <c r="P841" s="1"/>
    </row>
    <row r="842" spans="4:16" ht="18.75" x14ac:dyDescent="0.3">
      <c r="D842" s="61" t="s">
        <v>1461</v>
      </c>
      <c r="E842" s="62" t="s">
        <v>548</v>
      </c>
      <c r="F842" s="72" t="s">
        <v>1387</v>
      </c>
      <c r="G842" s="1"/>
      <c r="H842" s="1"/>
      <c r="I842" s="1"/>
      <c r="J842" s="1"/>
      <c r="K842" s="1"/>
      <c r="L842" s="1"/>
      <c r="M842" s="1"/>
      <c r="N842" s="1"/>
      <c r="O842" s="1"/>
      <c r="P842" s="1"/>
    </row>
    <row r="843" spans="4:16" ht="18.75" x14ac:dyDescent="0.3">
      <c r="D843" s="61" t="s">
        <v>1388</v>
      </c>
      <c r="E843" s="62" t="s">
        <v>11</v>
      </c>
      <c r="F843" s="72" t="s">
        <v>1389</v>
      </c>
      <c r="G843" s="1"/>
      <c r="H843" s="1"/>
      <c r="I843" s="1"/>
      <c r="J843" s="1"/>
      <c r="K843" s="1"/>
      <c r="L843" s="1"/>
      <c r="M843" s="1"/>
      <c r="N843" s="1"/>
      <c r="O843" s="1"/>
      <c r="P843" s="1"/>
    </row>
    <row r="844" spans="4:16" ht="18.75" x14ac:dyDescent="0.3">
      <c r="D844" s="61" t="s">
        <v>1390</v>
      </c>
      <c r="E844" s="62" t="s">
        <v>16</v>
      </c>
      <c r="F844" s="72" t="s">
        <v>1391</v>
      </c>
      <c r="G844" s="1"/>
      <c r="H844" s="1"/>
      <c r="I844" s="1"/>
      <c r="J844" s="1"/>
      <c r="K844" s="1"/>
      <c r="L844" s="1"/>
      <c r="M844" s="1"/>
      <c r="N844" s="1"/>
      <c r="O844" s="1"/>
      <c r="P844" s="1"/>
    </row>
    <row r="845" spans="4:16" ht="18.75" x14ac:dyDescent="0.3">
      <c r="D845" s="75" t="s">
        <v>1392</v>
      </c>
      <c r="E845" s="76"/>
      <c r="F845" s="72" t="s">
        <v>1393</v>
      </c>
      <c r="G845" s="1"/>
      <c r="H845" s="1"/>
      <c r="I845" s="1"/>
      <c r="J845" s="1"/>
      <c r="K845" s="1"/>
      <c r="L845" s="1"/>
      <c r="M845" s="1"/>
      <c r="N845" s="1"/>
      <c r="O845" s="1"/>
      <c r="P845" s="1"/>
    </row>
    <row r="846" spans="4:16" ht="18.75" x14ac:dyDescent="0.3">
      <c r="D846" s="75" t="s">
        <v>1396</v>
      </c>
      <c r="E846" s="76" t="s">
        <v>1397</v>
      </c>
      <c r="F846" s="72" t="s">
        <v>1398</v>
      </c>
      <c r="G846" s="1"/>
      <c r="H846" s="1"/>
      <c r="I846" s="1"/>
      <c r="J846" s="1"/>
      <c r="K846" s="1"/>
      <c r="L846" s="1"/>
      <c r="M846" s="1"/>
      <c r="N846" s="1"/>
      <c r="O846" s="1"/>
      <c r="P846" s="1"/>
    </row>
    <row r="847" spans="4:16" ht="18.75" x14ac:dyDescent="0.3">
      <c r="D847" s="61" t="s">
        <v>1394</v>
      </c>
      <c r="E847" s="62" t="s">
        <v>515</v>
      </c>
      <c r="F847" s="72" t="s">
        <v>1395</v>
      </c>
      <c r="G847" s="1"/>
      <c r="H847" s="1"/>
      <c r="I847" s="1"/>
      <c r="J847" s="1"/>
      <c r="K847" s="1"/>
      <c r="L847" s="1"/>
      <c r="M847" s="1"/>
      <c r="N847" s="1"/>
      <c r="O847" s="1"/>
      <c r="P847" s="1"/>
    </row>
    <row r="848" spans="4:16" ht="18.75" x14ac:dyDescent="0.3">
      <c r="D848" s="61" t="s">
        <v>1399</v>
      </c>
      <c r="E848" s="61" t="s">
        <v>515</v>
      </c>
      <c r="F848" s="72" t="s">
        <v>1400</v>
      </c>
      <c r="G848" s="1"/>
      <c r="H848" s="1"/>
      <c r="I848" s="1"/>
      <c r="J848" s="1"/>
      <c r="K848" s="1"/>
      <c r="L848" s="1"/>
      <c r="M848" s="1"/>
      <c r="N848" s="1"/>
      <c r="O848" s="1"/>
      <c r="P848" s="1"/>
    </row>
    <row r="849" spans="4:16" ht="18.75" x14ac:dyDescent="0.3">
      <c r="D849" s="61" t="s">
        <v>1401</v>
      </c>
      <c r="E849" s="62"/>
      <c r="F849" s="72" t="s">
        <v>1402</v>
      </c>
      <c r="G849" s="1"/>
      <c r="H849" s="1"/>
      <c r="I849" s="1"/>
      <c r="J849" s="1"/>
      <c r="K849" s="1"/>
      <c r="L849" s="1"/>
      <c r="M849" s="1"/>
      <c r="N849" s="1"/>
      <c r="O849" s="1"/>
      <c r="P849" s="1"/>
    </row>
    <row r="850" spans="4:16" ht="18.75" x14ac:dyDescent="0.3">
      <c r="D850" s="75" t="s">
        <v>1403</v>
      </c>
      <c r="E850" s="75" t="s">
        <v>26</v>
      </c>
      <c r="F850" s="72" t="s">
        <v>1404</v>
      </c>
      <c r="G850" s="1"/>
      <c r="H850" s="1"/>
      <c r="I850" s="1"/>
      <c r="J850" s="1"/>
      <c r="K850" s="1"/>
      <c r="L850" s="1"/>
      <c r="M850" s="1"/>
      <c r="N850" s="1"/>
      <c r="O850" s="1"/>
      <c r="P850" s="1"/>
    </row>
    <row r="851" spans="4:16" ht="18.75" x14ac:dyDescent="0.3">
      <c r="D851" s="61" t="s">
        <v>1405</v>
      </c>
      <c r="E851" s="62" t="s">
        <v>515</v>
      </c>
      <c r="F851" s="72" t="s">
        <v>1406</v>
      </c>
      <c r="G851" s="1"/>
      <c r="H851" s="1"/>
      <c r="I851" s="1"/>
      <c r="J851" s="1"/>
      <c r="K851" s="1"/>
      <c r="L851" s="1"/>
      <c r="M851" s="1"/>
      <c r="N851" s="1"/>
      <c r="O851" s="1"/>
      <c r="P851" s="1"/>
    </row>
    <row r="852" spans="4:16" ht="18.75" x14ac:dyDescent="0.3">
      <c r="D852" s="61" t="s">
        <v>1407</v>
      </c>
      <c r="E852" s="62"/>
      <c r="F852" s="72" t="s">
        <v>1408</v>
      </c>
      <c r="G852" s="1"/>
      <c r="H852" s="1"/>
      <c r="I852" s="1"/>
      <c r="J852" s="1"/>
      <c r="K852" s="1"/>
      <c r="L852" s="1"/>
      <c r="M852" s="1"/>
      <c r="N852" s="1"/>
      <c r="O852" s="1"/>
      <c r="P852" s="1"/>
    </row>
    <row r="853" spans="4:16" ht="18.75" x14ac:dyDescent="0.3">
      <c r="D853" s="61" t="s">
        <v>1409</v>
      </c>
      <c r="E853" s="62" t="s">
        <v>515</v>
      </c>
      <c r="F853" s="72" t="s">
        <v>1410</v>
      </c>
      <c r="G853" s="1"/>
      <c r="H853" s="1"/>
      <c r="I853" s="1"/>
      <c r="J853" s="1"/>
      <c r="K853" s="1"/>
      <c r="L853" s="1"/>
      <c r="M853" s="1"/>
      <c r="N853" s="1"/>
      <c r="O853" s="1"/>
      <c r="P853" s="1"/>
    </row>
    <row r="854" spans="4:16" ht="18.75" x14ac:dyDescent="0.3">
      <c r="D854" s="61" t="s">
        <v>1411</v>
      </c>
      <c r="E854" s="62" t="s">
        <v>480</v>
      </c>
      <c r="F854" s="72" t="s">
        <v>1412</v>
      </c>
      <c r="G854" s="1"/>
      <c r="H854" s="1"/>
      <c r="I854" s="1"/>
      <c r="J854" s="1"/>
      <c r="K854" s="1"/>
      <c r="L854" s="1"/>
      <c r="M854" s="1"/>
      <c r="N854" s="1"/>
      <c r="O854" s="1"/>
      <c r="P854" s="1"/>
    </row>
    <row r="855" spans="4:16" ht="18.75" x14ac:dyDescent="0.3">
      <c r="D855" s="61" t="s">
        <v>1413</v>
      </c>
      <c r="E855" s="62" t="s">
        <v>515</v>
      </c>
      <c r="F855" s="72" t="s">
        <v>1414</v>
      </c>
      <c r="G855" s="1"/>
      <c r="H855" s="1"/>
      <c r="I855" s="1"/>
      <c r="J855" s="1"/>
      <c r="K855" s="1"/>
      <c r="L855" s="1"/>
      <c r="M855" s="1"/>
      <c r="N855" s="1"/>
      <c r="O855" s="1"/>
      <c r="P855" s="1"/>
    </row>
    <row r="856" spans="4:16" ht="18.75" x14ac:dyDescent="0.3">
      <c r="D856" s="61" t="s">
        <v>1415</v>
      </c>
      <c r="E856" s="62" t="s">
        <v>490</v>
      </c>
      <c r="F856" s="72" t="s">
        <v>1416</v>
      </c>
      <c r="G856" s="1"/>
      <c r="H856" s="1"/>
      <c r="I856" s="1"/>
      <c r="J856" s="1"/>
      <c r="K856" s="1"/>
      <c r="L856" s="1"/>
      <c r="M856" s="1"/>
      <c r="N856" s="1"/>
      <c r="O856" s="1"/>
      <c r="P856" s="1"/>
    </row>
    <row r="857" spans="4:16" ht="18.75" x14ac:dyDescent="0.3">
      <c r="D857" s="75" t="s">
        <v>1417</v>
      </c>
      <c r="E857" s="76" t="s">
        <v>7</v>
      </c>
      <c r="F857" s="72" t="s">
        <v>1418</v>
      </c>
      <c r="G857" s="1"/>
      <c r="H857" s="1"/>
      <c r="I857" s="1"/>
      <c r="J857" s="1"/>
      <c r="K857" s="1"/>
      <c r="L857" s="1"/>
      <c r="M857" s="1"/>
      <c r="N857" s="1"/>
      <c r="O857" s="1"/>
      <c r="P857" s="1"/>
    </row>
    <row r="858" spans="4:16" ht="18.75" x14ac:dyDescent="0.3">
      <c r="D858" s="61" t="s">
        <v>1419</v>
      </c>
      <c r="E858" s="62" t="s">
        <v>492</v>
      </c>
      <c r="F858" s="72" t="s">
        <v>1420</v>
      </c>
      <c r="G858" s="1"/>
      <c r="H858" s="1"/>
      <c r="I858" s="1"/>
      <c r="J858" s="1"/>
      <c r="K858" s="1"/>
      <c r="L858" s="1"/>
      <c r="M858" s="1"/>
      <c r="N858" s="1"/>
      <c r="O858" s="1"/>
      <c r="P858" s="1"/>
    </row>
    <row r="859" spans="4:16" ht="18.75" x14ac:dyDescent="0.3">
      <c r="D859" s="75" t="s">
        <v>1421</v>
      </c>
      <c r="E859" s="76" t="s">
        <v>11</v>
      </c>
      <c r="F859" s="72" t="s">
        <v>1422</v>
      </c>
      <c r="G859" s="1"/>
      <c r="H859" s="1"/>
      <c r="I859" s="1"/>
      <c r="J859" s="1"/>
      <c r="K859" s="1"/>
      <c r="L859" s="1"/>
      <c r="M859" s="1"/>
      <c r="N859" s="1"/>
      <c r="O859" s="1"/>
      <c r="P859" s="1"/>
    </row>
    <row r="860" spans="4:16" ht="18.75" x14ac:dyDescent="0.3">
      <c r="D860" s="75" t="s">
        <v>1423</v>
      </c>
      <c r="E860" s="76" t="s">
        <v>18</v>
      </c>
      <c r="F860" s="72" t="s">
        <v>1424</v>
      </c>
      <c r="G860" s="1"/>
      <c r="H860" s="1"/>
      <c r="I860" s="1"/>
      <c r="J860" s="1"/>
      <c r="K860" s="1"/>
      <c r="L860" s="1"/>
      <c r="M860" s="1"/>
      <c r="N860" s="1"/>
      <c r="O860" s="1"/>
      <c r="P860" s="1"/>
    </row>
    <row r="861" spans="4:16" ht="18.75" x14ac:dyDescent="0.3">
      <c r="D861" s="61" t="s">
        <v>1425</v>
      </c>
      <c r="E861" s="62" t="s">
        <v>7</v>
      </c>
      <c r="F861" s="72" t="s">
        <v>1426</v>
      </c>
      <c r="G861" s="1"/>
      <c r="H861" s="1"/>
      <c r="I861" s="1"/>
      <c r="J861" s="1"/>
      <c r="K861" s="1"/>
      <c r="L861" s="1"/>
      <c r="M861" s="1"/>
      <c r="N861" s="1"/>
      <c r="O861" s="1"/>
      <c r="P861" s="1"/>
    </row>
    <row r="862" spans="4:16" ht="18.75" x14ac:dyDescent="0.3">
      <c r="D862" s="61" t="s">
        <v>1427</v>
      </c>
      <c r="E862" s="62" t="s">
        <v>5</v>
      </c>
      <c r="F862" s="72" t="s">
        <v>1428</v>
      </c>
      <c r="G862" s="1"/>
      <c r="H862" s="1"/>
      <c r="I862" s="1"/>
      <c r="J862" s="1"/>
      <c r="K862" s="1"/>
      <c r="L862" s="1"/>
      <c r="M862" s="1"/>
      <c r="N862" s="1"/>
      <c r="O862" s="1"/>
      <c r="P862" s="1"/>
    </row>
    <row r="863" spans="4:16" ht="18.75" x14ac:dyDescent="0.3">
      <c r="D863" s="75" t="s">
        <v>1429</v>
      </c>
      <c r="E863" s="75" t="s">
        <v>16</v>
      </c>
      <c r="F863" s="72" t="s">
        <v>1430</v>
      </c>
      <c r="G863" s="1"/>
      <c r="H863" s="1"/>
      <c r="I863" s="1"/>
      <c r="J863" s="1"/>
      <c r="K863" s="1"/>
      <c r="L863" s="1"/>
      <c r="M863" s="1"/>
      <c r="N863" s="1"/>
      <c r="O863" s="1"/>
      <c r="P863" s="1"/>
    </row>
    <row r="864" spans="4:16" ht="18.75" x14ac:dyDescent="0.3">
      <c r="D864" s="61" t="s">
        <v>1431</v>
      </c>
      <c r="E864" s="61" t="s">
        <v>492</v>
      </c>
      <c r="F864" s="72" t="s">
        <v>1432</v>
      </c>
      <c r="G864" s="1"/>
      <c r="H864" s="1"/>
      <c r="I864" s="1"/>
      <c r="J864" s="1"/>
      <c r="K864" s="1"/>
      <c r="L864" s="1"/>
      <c r="M864" s="1"/>
      <c r="N864" s="1"/>
      <c r="O864" s="1"/>
      <c r="P864" s="1"/>
    </row>
    <row r="865" spans="4:16" ht="18.75" x14ac:dyDescent="0.3">
      <c r="D865" s="75" t="s">
        <v>1433</v>
      </c>
      <c r="E865" s="76" t="s">
        <v>576</v>
      </c>
      <c r="F865" s="72" t="s">
        <v>1434</v>
      </c>
      <c r="G865" s="1"/>
      <c r="H865" s="1"/>
      <c r="I865" s="1"/>
      <c r="J865" s="1"/>
      <c r="K865" s="1"/>
      <c r="L865" s="1"/>
      <c r="M865" s="1"/>
      <c r="N865" s="1"/>
      <c r="O865" s="1"/>
      <c r="P865" s="1"/>
    </row>
    <row r="866" spans="4:16" ht="18.75" x14ac:dyDescent="0.3">
      <c r="D866" s="61" t="s">
        <v>1435</v>
      </c>
      <c r="E866" s="62" t="s">
        <v>480</v>
      </c>
      <c r="F866" s="72" t="s">
        <v>1436</v>
      </c>
      <c r="G866" s="1"/>
      <c r="H866" s="1"/>
      <c r="I866" s="1"/>
      <c r="J866" s="1"/>
      <c r="K866" s="1"/>
      <c r="L866" s="1"/>
      <c r="M866" s="1"/>
      <c r="N866" s="1"/>
      <c r="O866" s="1"/>
      <c r="P866" s="1"/>
    </row>
    <row r="867" spans="4:16" ht="18.75" x14ac:dyDescent="0.3">
      <c r="D867" s="61" t="s">
        <v>1439</v>
      </c>
      <c r="E867" s="62" t="s">
        <v>5</v>
      </c>
      <c r="F867" s="72" t="s">
        <v>1440</v>
      </c>
      <c r="G867" s="1"/>
      <c r="H867" s="1"/>
      <c r="I867" s="1"/>
      <c r="J867" s="1"/>
      <c r="K867" s="1"/>
      <c r="L867" s="1"/>
      <c r="M867" s="1"/>
      <c r="N867" s="1"/>
      <c r="O867" s="1"/>
      <c r="P867" s="1"/>
    </row>
    <row r="868" spans="4:16" ht="18.75" x14ac:dyDescent="0.3">
      <c r="D868" s="61" t="s">
        <v>1441</v>
      </c>
      <c r="E868" s="62" t="s">
        <v>5</v>
      </c>
      <c r="F868" s="72" t="s">
        <v>1442</v>
      </c>
      <c r="G868" s="1"/>
      <c r="H868" s="1"/>
      <c r="I868" s="1"/>
      <c r="J868" s="1"/>
      <c r="K868" s="1"/>
      <c r="L868" s="1"/>
      <c r="M868" s="1"/>
      <c r="N868" s="1"/>
      <c r="O868" s="1"/>
      <c r="P868" s="1"/>
    </row>
    <row r="869" spans="4:16" ht="18.75" x14ac:dyDescent="0.3">
      <c r="D869" s="61" t="s">
        <v>1443</v>
      </c>
      <c r="E869" s="62" t="s">
        <v>480</v>
      </c>
      <c r="F869" s="72" t="s">
        <v>1444</v>
      </c>
      <c r="G869" s="1"/>
      <c r="H869" s="1"/>
      <c r="I869" s="1"/>
      <c r="J869" s="1"/>
      <c r="K869" s="1"/>
      <c r="L869" s="1"/>
      <c r="M869" s="1"/>
      <c r="N869" s="1"/>
      <c r="O869" s="1"/>
      <c r="P869" s="1"/>
    </row>
    <row r="870" spans="4:16" ht="18.75" x14ac:dyDescent="0.3">
      <c r="D870" s="61" t="s">
        <v>1445</v>
      </c>
      <c r="E870" s="62"/>
      <c r="F870" s="72" t="s">
        <v>1446</v>
      </c>
      <c r="G870" s="1"/>
      <c r="H870" s="1"/>
      <c r="I870" s="1"/>
      <c r="J870" s="1"/>
      <c r="K870" s="1"/>
      <c r="L870" s="1"/>
      <c r="M870" s="1"/>
      <c r="N870" s="1"/>
      <c r="O870" s="1"/>
      <c r="P870" s="1"/>
    </row>
    <row r="871" spans="4:16" ht="18.75" x14ac:dyDescent="0.3">
      <c r="D871" s="61" t="s">
        <v>1437</v>
      </c>
      <c r="E871" s="62" t="s">
        <v>480</v>
      </c>
      <c r="F871" s="72" t="s">
        <v>1438</v>
      </c>
      <c r="G871" s="1"/>
      <c r="H871" s="1"/>
      <c r="I871" s="1"/>
      <c r="J871" s="1"/>
      <c r="K871" s="1"/>
      <c r="L871" s="1"/>
      <c r="M871" s="1"/>
      <c r="N871" s="1"/>
      <c r="O871" s="1"/>
      <c r="P871" s="1"/>
    </row>
    <row r="872" spans="4:16" ht="18.75" x14ac:dyDescent="0.3">
      <c r="D872" s="61" t="s">
        <v>1447</v>
      </c>
      <c r="E872" s="62" t="s">
        <v>455</v>
      </c>
      <c r="F872" s="72" t="s">
        <v>1448</v>
      </c>
      <c r="G872" s="1"/>
      <c r="H872" s="1"/>
      <c r="I872" s="1"/>
      <c r="J872" s="1"/>
      <c r="K872" s="1"/>
      <c r="L872" s="1"/>
      <c r="M872" s="1"/>
      <c r="N872" s="1"/>
      <c r="O872" s="1"/>
      <c r="P872" s="1"/>
    </row>
    <row r="873" spans="4:16" ht="18.75" x14ac:dyDescent="0.3">
      <c r="D873" s="61" t="s">
        <v>1449</v>
      </c>
      <c r="E873" s="62" t="s">
        <v>5</v>
      </c>
      <c r="F873" s="72" t="s">
        <v>1450</v>
      </c>
      <c r="G873" s="1"/>
      <c r="H873" s="1"/>
      <c r="I873" s="1"/>
      <c r="J873" s="1"/>
      <c r="K873" s="1"/>
      <c r="L873" s="1"/>
      <c r="M873" s="1"/>
      <c r="N873" s="1"/>
      <c r="O873" s="1"/>
      <c r="P873" s="1"/>
    </row>
    <row r="874" spans="4:16" ht="18.75" x14ac:dyDescent="0.3">
      <c r="D874" s="61" t="s">
        <v>1451</v>
      </c>
      <c r="E874" s="62" t="s">
        <v>480</v>
      </c>
      <c r="F874" s="72" t="s">
        <v>1452</v>
      </c>
      <c r="G874" s="1"/>
      <c r="H874" s="1"/>
      <c r="I874" s="1"/>
      <c r="J874" s="1"/>
      <c r="K874" s="1"/>
      <c r="L874" s="1"/>
      <c r="M874" s="1"/>
      <c r="N874" s="1"/>
      <c r="O874" s="1"/>
      <c r="P874" s="1"/>
    </row>
    <row r="875" spans="4:16" ht="18.75" x14ac:dyDescent="0.3">
      <c r="D875" s="75" t="s">
        <v>1453</v>
      </c>
      <c r="E875" s="76"/>
      <c r="F875" s="72" t="s">
        <v>1454</v>
      </c>
      <c r="G875" s="1"/>
      <c r="H875" s="1"/>
      <c r="I875" s="1"/>
      <c r="J875" s="1"/>
      <c r="K875" s="1"/>
      <c r="L875" s="1"/>
      <c r="M875" s="1"/>
      <c r="N875" s="1"/>
      <c r="O875" s="1"/>
      <c r="P875" s="1"/>
    </row>
    <row r="876" spans="4:16" ht="19.5" thickBot="1" x14ac:dyDescent="0.35">
      <c r="D876" s="61" t="s">
        <v>1455</v>
      </c>
      <c r="E876" s="62" t="s">
        <v>31</v>
      </c>
      <c r="F876" s="72" t="s">
        <v>1456</v>
      </c>
      <c r="G876" s="1"/>
      <c r="H876" s="1"/>
      <c r="I876" s="1"/>
      <c r="J876" s="1"/>
      <c r="K876" s="1"/>
      <c r="L876" s="1"/>
      <c r="M876" s="1"/>
      <c r="N876" s="1"/>
      <c r="O876" s="1"/>
      <c r="P876" s="1"/>
    </row>
    <row r="877" spans="4:16" ht="19.5" thickBot="1" x14ac:dyDescent="0.35">
      <c r="D877" s="108" t="s">
        <v>1459</v>
      </c>
      <c r="E877" s="111" t="s">
        <v>480</v>
      </c>
      <c r="F877" s="117" t="s">
        <v>1460</v>
      </c>
      <c r="G877" s="1"/>
      <c r="H877" s="1"/>
      <c r="I877" s="1"/>
      <c r="J877" s="1"/>
      <c r="K877" s="1"/>
      <c r="L877" s="1"/>
      <c r="M877" s="1"/>
      <c r="N877" s="1"/>
      <c r="O877" s="1"/>
      <c r="P877" s="1"/>
    </row>
    <row r="878" spans="4:16" ht="18.75" x14ac:dyDescent="0.3">
      <c r="D878" s="77" t="s">
        <v>9</v>
      </c>
      <c r="E878" s="78"/>
      <c r="F878" s="22">
        <f>SUBTOTAL(103,Tabla1[FICHA])</f>
        <v>868</v>
      </c>
      <c r="G878" s="1"/>
      <c r="H878" s="1"/>
      <c r="I878" s="1"/>
      <c r="J878" s="1"/>
      <c r="K878" s="1"/>
      <c r="L878" s="1"/>
      <c r="M878" s="1"/>
      <c r="N878" s="1"/>
      <c r="O878" s="1"/>
      <c r="P878" s="1"/>
    </row>
    <row r="879" spans="4:16" x14ac:dyDescent="0.25"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</row>
    <row r="880" spans="4:16" x14ac:dyDescent="0.25"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</row>
    <row r="881" spans="4:16" x14ac:dyDescent="0.25"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</row>
    <row r="882" spans="4:16" x14ac:dyDescent="0.25"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</row>
    <row r="883" spans="4:16" x14ac:dyDescent="0.25"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</row>
    <row r="884" spans="4:16" x14ac:dyDescent="0.25"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</row>
    <row r="885" spans="4:16" x14ac:dyDescent="0.25"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</row>
    <row r="886" spans="4:16" x14ac:dyDescent="0.25"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</row>
    <row r="887" spans="4:16" x14ac:dyDescent="0.25"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</row>
    <row r="888" spans="4:16" x14ac:dyDescent="0.25"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</row>
    <row r="889" spans="4:16" x14ac:dyDescent="0.25"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</row>
    <row r="890" spans="4:16" x14ac:dyDescent="0.25"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</row>
    <row r="891" spans="4:16" x14ac:dyDescent="0.25"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</row>
    <row r="892" spans="4:16" x14ac:dyDescent="0.25"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</row>
    <row r="893" spans="4:16" x14ac:dyDescent="0.25"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</row>
    <row r="894" spans="4:16" x14ac:dyDescent="0.25"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</row>
    <row r="895" spans="4:16" x14ac:dyDescent="0.25"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</row>
    <row r="896" spans="4:16" x14ac:dyDescent="0.25"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</row>
    <row r="897" spans="4:16" x14ac:dyDescent="0.25"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</row>
    <row r="898" spans="4:16" x14ac:dyDescent="0.25"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</row>
    <row r="899" spans="4:16" x14ac:dyDescent="0.25"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</row>
    <row r="900" spans="4:16" x14ac:dyDescent="0.25"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</row>
    <row r="901" spans="4:16" x14ac:dyDescent="0.25"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</row>
    <row r="902" spans="4:16" x14ac:dyDescent="0.25"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</row>
    <row r="903" spans="4:16" x14ac:dyDescent="0.25"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</row>
    <row r="904" spans="4:16" x14ac:dyDescent="0.25"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</row>
    <row r="905" spans="4:16" x14ac:dyDescent="0.25"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</row>
    <row r="906" spans="4:16" x14ac:dyDescent="0.25"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</row>
    <row r="907" spans="4:16" x14ac:dyDescent="0.25"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</row>
    <row r="908" spans="4:16" x14ac:dyDescent="0.25"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</row>
    <row r="909" spans="4:16" x14ac:dyDescent="0.25"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</row>
    <row r="910" spans="4:16" x14ac:dyDescent="0.25"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</row>
    <row r="911" spans="4:16" x14ac:dyDescent="0.25"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</row>
    <row r="912" spans="4:16" x14ac:dyDescent="0.25"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</row>
    <row r="913" spans="4:16" x14ac:dyDescent="0.25"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</row>
    <row r="914" spans="4:16" x14ac:dyDescent="0.25"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</row>
    <row r="915" spans="4:16" x14ac:dyDescent="0.25"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</row>
    <row r="916" spans="4:16" x14ac:dyDescent="0.25"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</row>
    <row r="917" spans="4:16" x14ac:dyDescent="0.25"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</row>
    <row r="918" spans="4:16" x14ac:dyDescent="0.25"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</row>
    <row r="919" spans="4:16" x14ac:dyDescent="0.25"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</row>
    <row r="920" spans="4:16" x14ac:dyDescent="0.25"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</row>
    <row r="921" spans="4:16" x14ac:dyDescent="0.25"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</row>
    <row r="922" spans="4:16" x14ac:dyDescent="0.25"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</row>
    <row r="923" spans="4:16" x14ac:dyDescent="0.25"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</row>
    <row r="924" spans="4:16" x14ac:dyDescent="0.25"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</row>
    <row r="925" spans="4:16" x14ac:dyDescent="0.25"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</row>
    <row r="926" spans="4:16" x14ac:dyDescent="0.25"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</row>
    <row r="927" spans="4:16" x14ac:dyDescent="0.25"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</row>
    <row r="928" spans="4:16" x14ac:dyDescent="0.25"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</row>
    <row r="929" spans="4:16" x14ac:dyDescent="0.25"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</row>
    <row r="930" spans="4:16" x14ac:dyDescent="0.25"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</row>
    <row r="931" spans="4:16" x14ac:dyDescent="0.25"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</row>
    <row r="932" spans="4:16" x14ac:dyDescent="0.25"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</row>
    <row r="933" spans="4:16" x14ac:dyDescent="0.25"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</row>
    <row r="934" spans="4:16" x14ac:dyDescent="0.25"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</row>
    <row r="935" spans="4:16" x14ac:dyDescent="0.25"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</row>
    <row r="936" spans="4:16" x14ac:dyDescent="0.25"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</row>
    <row r="937" spans="4:16" x14ac:dyDescent="0.25"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</row>
    <row r="938" spans="4:16" x14ac:dyDescent="0.25"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</row>
    <row r="939" spans="4:16" x14ac:dyDescent="0.25"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</row>
    <row r="940" spans="4:16" x14ac:dyDescent="0.25"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</row>
    <row r="941" spans="4:16" x14ac:dyDescent="0.25"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</row>
    <row r="942" spans="4:16" x14ac:dyDescent="0.25"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</row>
    <row r="943" spans="4:16" x14ac:dyDescent="0.25"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</row>
    <row r="944" spans="4:16" x14ac:dyDescent="0.25"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</row>
    <row r="945" spans="4:16" x14ac:dyDescent="0.25"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</row>
    <row r="946" spans="4:16" x14ac:dyDescent="0.25"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</row>
    <row r="947" spans="4:16" x14ac:dyDescent="0.25"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</row>
    <row r="948" spans="4:16" x14ac:dyDescent="0.25"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</row>
    <row r="949" spans="4:16" x14ac:dyDescent="0.25"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</row>
    <row r="950" spans="4:16" x14ac:dyDescent="0.25"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</row>
    <row r="951" spans="4:16" x14ac:dyDescent="0.25"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</row>
    <row r="952" spans="4:16" x14ac:dyDescent="0.25"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</row>
    <row r="953" spans="4:16" x14ac:dyDescent="0.25"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</row>
    <row r="954" spans="4:16" x14ac:dyDescent="0.25"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</row>
    <row r="955" spans="4:16" x14ac:dyDescent="0.25"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</row>
    <row r="956" spans="4:16" x14ac:dyDescent="0.25"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</row>
    <row r="957" spans="4:16" x14ac:dyDescent="0.25"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</row>
    <row r="958" spans="4:16" x14ac:dyDescent="0.25"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</row>
    <row r="959" spans="4:16" x14ac:dyDescent="0.25"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</row>
    <row r="960" spans="4:16" x14ac:dyDescent="0.25"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</row>
    <row r="961" spans="4:16" x14ac:dyDescent="0.25"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</row>
    <row r="962" spans="4:16" x14ac:dyDescent="0.25"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</row>
    <row r="963" spans="4:16" x14ac:dyDescent="0.25"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</row>
    <row r="964" spans="4:16" x14ac:dyDescent="0.25"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</row>
    <row r="965" spans="4:16" x14ac:dyDescent="0.25"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</row>
    <row r="966" spans="4:16" x14ac:dyDescent="0.25"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</row>
    <row r="967" spans="4:16" x14ac:dyDescent="0.25"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</row>
    <row r="968" spans="4:16" x14ac:dyDescent="0.25"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</row>
    <row r="969" spans="4:16" x14ac:dyDescent="0.25"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</row>
    <row r="970" spans="4:16" x14ac:dyDescent="0.25"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</row>
    <row r="971" spans="4:16" x14ac:dyDescent="0.25"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</row>
    <row r="972" spans="4:16" x14ac:dyDescent="0.25"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</row>
    <row r="973" spans="4:16" x14ac:dyDescent="0.25"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</row>
    <row r="974" spans="4:16" x14ac:dyDescent="0.25"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</row>
    <row r="975" spans="4:16" x14ac:dyDescent="0.25"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</row>
    <row r="976" spans="4:16" x14ac:dyDescent="0.25"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</row>
    <row r="977" spans="4:16" x14ac:dyDescent="0.25"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</row>
    <row r="978" spans="4:16" x14ac:dyDescent="0.25"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</row>
    <row r="979" spans="4:16" x14ac:dyDescent="0.25"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</row>
    <row r="980" spans="4:16" x14ac:dyDescent="0.25"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</row>
    <row r="981" spans="4:16" x14ac:dyDescent="0.25"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</row>
    <row r="982" spans="4:16" x14ac:dyDescent="0.25"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</row>
    <row r="983" spans="4:16" x14ac:dyDescent="0.25"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</row>
    <row r="984" spans="4:16" x14ac:dyDescent="0.25"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</row>
    <row r="985" spans="4:16" x14ac:dyDescent="0.25"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</row>
    <row r="986" spans="4:16" x14ac:dyDescent="0.25"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</row>
    <row r="987" spans="4:16" x14ac:dyDescent="0.25"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</row>
    <row r="988" spans="4:16" x14ac:dyDescent="0.25"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</row>
    <row r="989" spans="4:16" x14ac:dyDescent="0.25"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</row>
    <row r="990" spans="4:16" x14ac:dyDescent="0.25"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</row>
    <row r="991" spans="4:16" x14ac:dyDescent="0.25"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</row>
    <row r="992" spans="4:16" x14ac:dyDescent="0.25"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</row>
    <row r="993" spans="4:16" x14ac:dyDescent="0.25"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</row>
    <row r="994" spans="4:16" x14ac:dyDescent="0.25"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</row>
    <row r="995" spans="4:16" x14ac:dyDescent="0.25"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</row>
    <row r="996" spans="4:16" x14ac:dyDescent="0.25"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</row>
    <row r="997" spans="4:16" x14ac:dyDescent="0.25"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</row>
    <row r="998" spans="4:16" x14ac:dyDescent="0.25"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</row>
    <row r="999" spans="4:16" x14ac:dyDescent="0.25"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</row>
    <row r="1000" spans="4:16" x14ac:dyDescent="0.25"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</row>
    <row r="1001" spans="4:16" x14ac:dyDescent="0.25"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</row>
    <row r="1002" spans="4:16" x14ac:dyDescent="0.25"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</row>
    <row r="1003" spans="4:16" x14ac:dyDescent="0.25"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</row>
    <row r="1004" spans="4:16" x14ac:dyDescent="0.25"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</row>
    <row r="1005" spans="4:16" x14ac:dyDescent="0.25"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</row>
    <row r="1006" spans="4:16" x14ac:dyDescent="0.25"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</row>
    <row r="1007" spans="4:16" x14ac:dyDescent="0.25"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</row>
    <row r="1008" spans="4:16" x14ac:dyDescent="0.25"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</row>
    <row r="1009" spans="4:16" x14ac:dyDescent="0.25"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</row>
    <row r="1010" spans="4:16" x14ac:dyDescent="0.25"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</row>
    <row r="1011" spans="4:16" x14ac:dyDescent="0.25"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</row>
    <row r="1012" spans="4:16" x14ac:dyDescent="0.25"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</row>
    <row r="1013" spans="4:16" x14ac:dyDescent="0.25"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</row>
    <row r="1014" spans="4:16" x14ac:dyDescent="0.25"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</row>
    <row r="1015" spans="4:16" x14ac:dyDescent="0.25"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</row>
    <row r="1016" spans="4:16" x14ac:dyDescent="0.25"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</row>
    <row r="1017" spans="4:16" x14ac:dyDescent="0.25"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</row>
    <row r="1018" spans="4:16" x14ac:dyDescent="0.25"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</row>
    <row r="1019" spans="4:16" x14ac:dyDescent="0.25"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</row>
    <row r="1020" spans="4:16" x14ac:dyDescent="0.25"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</row>
    <row r="1021" spans="4:16" x14ac:dyDescent="0.25"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</row>
    <row r="1022" spans="4:16" x14ac:dyDescent="0.25"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</row>
    <row r="1023" spans="4:16" x14ac:dyDescent="0.25"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</row>
    <row r="1024" spans="4:16" x14ac:dyDescent="0.25"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</row>
    <row r="1025" spans="4:16" x14ac:dyDescent="0.25"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</row>
    <row r="1026" spans="4:16" x14ac:dyDescent="0.25"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</row>
    <row r="1027" spans="4:16" x14ac:dyDescent="0.25"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</row>
    <row r="1028" spans="4:16" x14ac:dyDescent="0.25"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</row>
    <row r="1029" spans="4:16" x14ac:dyDescent="0.25"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</row>
    <row r="1030" spans="4:16" x14ac:dyDescent="0.25"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</row>
    <row r="1031" spans="4:16" x14ac:dyDescent="0.25"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</row>
    <row r="1032" spans="4:16" x14ac:dyDescent="0.25"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</row>
    <row r="1033" spans="4:16" x14ac:dyDescent="0.25"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</row>
    <row r="1034" spans="4:16" x14ac:dyDescent="0.25"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</row>
    <row r="1035" spans="4:16" x14ac:dyDescent="0.25"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</row>
    <row r="1036" spans="4:16" x14ac:dyDescent="0.25"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</row>
    <row r="1037" spans="4:16" x14ac:dyDescent="0.25"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</row>
    <row r="1038" spans="4:16" x14ac:dyDescent="0.25"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</row>
    <row r="1039" spans="4:16" x14ac:dyDescent="0.25"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</row>
    <row r="1040" spans="4:16" x14ac:dyDescent="0.25"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</row>
    <row r="1041" spans="4:16" x14ac:dyDescent="0.25"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</row>
    <row r="1042" spans="4:16" x14ac:dyDescent="0.25"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</row>
    <row r="1043" spans="4:16" x14ac:dyDescent="0.25"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</row>
    <row r="1044" spans="4:16" x14ac:dyDescent="0.25"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</row>
    <row r="1045" spans="4:16" x14ac:dyDescent="0.25"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</row>
    <row r="1046" spans="4:16" x14ac:dyDescent="0.25"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</row>
    <row r="1047" spans="4:16" x14ac:dyDescent="0.25"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</row>
    <row r="1048" spans="4:16" x14ac:dyDescent="0.25"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</row>
    <row r="1049" spans="4:16" x14ac:dyDescent="0.25"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</row>
    <row r="1050" spans="4:16" x14ac:dyDescent="0.25"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</row>
    <row r="1051" spans="4:16" x14ac:dyDescent="0.25"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</row>
    <row r="1052" spans="4:16" x14ac:dyDescent="0.25"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</row>
    <row r="1053" spans="4:16" x14ac:dyDescent="0.25"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</row>
    <row r="1054" spans="4:16" x14ac:dyDescent="0.25"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</row>
    <row r="1055" spans="4:16" x14ac:dyDescent="0.25"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</row>
    <row r="1056" spans="4:16" x14ac:dyDescent="0.25"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</row>
    <row r="1057" spans="4:16" x14ac:dyDescent="0.25"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</row>
    <row r="1058" spans="4:16" x14ac:dyDescent="0.25"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</row>
    <row r="1059" spans="4:16" x14ac:dyDescent="0.25"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</row>
    <row r="1060" spans="4:16" x14ac:dyDescent="0.25"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</row>
    <row r="1061" spans="4:16" x14ac:dyDescent="0.25"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</row>
    <row r="1062" spans="4:16" x14ac:dyDescent="0.25"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</row>
    <row r="1063" spans="4:16" x14ac:dyDescent="0.25"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</row>
    <row r="1064" spans="4:16" x14ac:dyDescent="0.25"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</row>
    <row r="1065" spans="4:16" x14ac:dyDescent="0.25"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</row>
    <row r="1066" spans="4:16" x14ac:dyDescent="0.25"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</row>
    <row r="1067" spans="4:16" x14ac:dyDescent="0.25"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</row>
    <row r="1068" spans="4:16" x14ac:dyDescent="0.25"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</row>
    <row r="1069" spans="4:16" x14ac:dyDescent="0.25"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</row>
    <row r="1070" spans="4:16" x14ac:dyDescent="0.25"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</row>
    <row r="1071" spans="4:16" x14ac:dyDescent="0.25"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</row>
    <row r="1072" spans="4:16" x14ac:dyDescent="0.25"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</row>
    <row r="1073" spans="4:16" x14ac:dyDescent="0.25"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</row>
    <row r="1074" spans="4:16" x14ac:dyDescent="0.25"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</row>
    <row r="1075" spans="4:16" x14ac:dyDescent="0.25"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</row>
    <row r="1076" spans="4:16" x14ac:dyDescent="0.25"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</row>
    <row r="1077" spans="4:16" x14ac:dyDescent="0.25"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</row>
    <row r="1078" spans="4:16" x14ac:dyDescent="0.25"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</row>
    <row r="1079" spans="4:16" x14ac:dyDescent="0.25"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</row>
    <row r="1080" spans="4:16" x14ac:dyDescent="0.25"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</row>
    <row r="1081" spans="4:16" x14ac:dyDescent="0.25"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</row>
    <row r="1082" spans="4:16" x14ac:dyDescent="0.25"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</row>
    <row r="1083" spans="4:16" x14ac:dyDescent="0.25"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</row>
    <row r="1084" spans="4:16" x14ac:dyDescent="0.25"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</row>
    <row r="1085" spans="4:16" x14ac:dyDescent="0.25"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</row>
    <row r="1086" spans="4:16" x14ac:dyDescent="0.25"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</row>
    <row r="1087" spans="4:16" x14ac:dyDescent="0.25"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</row>
    <row r="1088" spans="4:16" x14ac:dyDescent="0.25"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</row>
    <row r="1089" spans="4:16" x14ac:dyDescent="0.25"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</row>
    <row r="1090" spans="4:16" x14ac:dyDescent="0.25"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</row>
    <row r="1091" spans="4:16" x14ac:dyDescent="0.25"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</row>
    <row r="1092" spans="4:16" x14ac:dyDescent="0.25"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</row>
    <row r="1093" spans="4:16" x14ac:dyDescent="0.25"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</row>
    <row r="1094" spans="4:16" x14ac:dyDescent="0.25"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</row>
    <row r="1095" spans="4:16" x14ac:dyDescent="0.25"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</row>
    <row r="1096" spans="4:16" x14ac:dyDescent="0.25"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</row>
    <row r="1097" spans="4:16" x14ac:dyDescent="0.25"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</row>
    <row r="1098" spans="4:16" x14ac:dyDescent="0.25"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</row>
    <row r="1099" spans="4:16" x14ac:dyDescent="0.25"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</row>
    <row r="1100" spans="4:16" x14ac:dyDescent="0.25"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</row>
    <row r="1101" spans="4:16" x14ac:dyDescent="0.25"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</row>
    <row r="1102" spans="4:16" x14ac:dyDescent="0.25"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</row>
    <row r="1103" spans="4:16" x14ac:dyDescent="0.25"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</row>
    <row r="1104" spans="4:16" x14ac:dyDescent="0.25"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</row>
    <row r="1105" spans="4:16" x14ac:dyDescent="0.25"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</row>
    <row r="1106" spans="4:16" x14ac:dyDescent="0.25"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</row>
    <row r="1107" spans="4:16" x14ac:dyDescent="0.25"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</row>
    <row r="1108" spans="4:16" x14ac:dyDescent="0.25"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</row>
    <row r="1109" spans="4:16" x14ac:dyDescent="0.25"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</row>
    <row r="1110" spans="4:16" x14ac:dyDescent="0.25"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</row>
    <row r="1111" spans="4:16" x14ac:dyDescent="0.25"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</row>
    <row r="1112" spans="4:16" x14ac:dyDescent="0.25"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</row>
    <row r="1113" spans="4:16" x14ac:dyDescent="0.25"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</row>
    <row r="1114" spans="4:16" x14ac:dyDescent="0.25"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</row>
    <row r="1115" spans="4:16" x14ac:dyDescent="0.25"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</row>
    <row r="1116" spans="4:16" x14ac:dyDescent="0.25"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</row>
    <row r="1117" spans="4:16" x14ac:dyDescent="0.25"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</row>
    <row r="1118" spans="4:16" x14ac:dyDescent="0.25"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</row>
    <row r="1119" spans="4:16" x14ac:dyDescent="0.25"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</row>
    <row r="1120" spans="4:16" x14ac:dyDescent="0.25"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</row>
    <row r="1121" spans="4:16" x14ac:dyDescent="0.25"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</row>
    <row r="1122" spans="4:16" x14ac:dyDescent="0.25"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</row>
    <row r="1123" spans="4:16" x14ac:dyDescent="0.25"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</row>
    <row r="1124" spans="4:16" x14ac:dyDescent="0.25"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</row>
    <row r="1125" spans="4:16" x14ac:dyDescent="0.25"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</row>
    <row r="1126" spans="4:16" x14ac:dyDescent="0.25"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</row>
    <row r="1127" spans="4:16" x14ac:dyDescent="0.25"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</row>
    <row r="1128" spans="4:16" x14ac:dyDescent="0.25"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</row>
    <row r="1129" spans="4:16" x14ac:dyDescent="0.25"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</row>
    <row r="1130" spans="4:16" x14ac:dyDescent="0.25"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</row>
    <row r="1131" spans="4:16" x14ac:dyDescent="0.25"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</row>
    <row r="1132" spans="4:16" x14ac:dyDescent="0.25"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</row>
    <row r="1133" spans="4:16" x14ac:dyDescent="0.25"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</row>
    <row r="1134" spans="4:16" x14ac:dyDescent="0.25"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</row>
    <row r="1135" spans="4:16" x14ac:dyDescent="0.25"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</row>
    <row r="1136" spans="4:16" x14ac:dyDescent="0.25"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</row>
    <row r="1137" spans="4:16" x14ac:dyDescent="0.25"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</row>
    <row r="1138" spans="4:16" x14ac:dyDescent="0.25"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</row>
    <row r="1139" spans="4:16" x14ac:dyDescent="0.25"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</row>
    <row r="1140" spans="4:16" x14ac:dyDescent="0.25"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</row>
    <row r="1141" spans="4:16" x14ac:dyDescent="0.25"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</row>
    <row r="1142" spans="4:16" x14ac:dyDescent="0.25"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</row>
    <row r="1143" spans="4:16" x14ac:dyDescent="0.25"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</row>
    <row r="1144" spans="4:16" x14ac:dyDescent="0.25"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</row>
    <row r="1145" spans="4:16" x14ac:dyDescent="0.25"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</row>
    <row r="1146" spans="4:16" x14ac:dyDescent="0.25"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</row>
    <row r="1147" spans="4:16" x14ac:dyDescent="0.25"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</row>
    <row r="1148" spans="4:16" x14ac:dyDescent="0.25"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</row>
    <row r="1149" spans="4:16" x14ac:dyDescent="0.25"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</row>
    <row r="1150" spans="4:16" x14ac:dyDescent="0.25"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</row>
    <row r="1151" spans="4:16" x14ac:dyDescent="0.25"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</row>
    <row r="1152" spans="4:16" x14ac:dyDescent="0.25"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</row>
    <row r="1153" spans="4:16" x14ac:dyDescent="0.25"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</row>
    <row r="1154" spans="4:16" x14ac:dyDescent="0.25"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</row>
    <row r="1155" spans="4:16" x14ac:dyDescent="0.25"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</row>
    <row r="1156" spans="4:16" x14ac:dyDescent="0.25"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</row>
    <row r="1157" spans="4:16" x14ac:dyDescent="0.25"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</row>
    <row r="1158" spans="4:16" x14ac:dyDescent="0.25"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</row>
    <row r="1159" spans="4:16" x14ac:dyDescent="0.25"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</row>
    <row r="1160" spans="4:16" x14ac:dyDescent="0.25"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</row>
    <row r="1161" spans="4:16" x14ac:dyDescent="0.25"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</row>
    <row r="1162" spans="4:16" x14ac:dyDescent="0.25"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</row>
    <row r="1163" spans="4:16" x14ac:dyDescent="0.25"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</row>
    <row r="1164" spans="4:16" x14ac:dyDescent="0.25"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</row>
    <row r="1165" spans="4:16" x14ac:dyDescent="0.25"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</row>
    <row r="1166" spans="4:16" x14ac:dyDescent="0.25"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</row>
    <row r="1167" spans="4:16" x14ac:dyDescent="0.25"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</row>
    <row r="1168" spans="4:16" x14ac:dyDescent="0.25"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</row>
    <row r="1169" spans="4:16" x14ac:dyDescent="0.25"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</row>
    <row r="1170" spans="4:16" x14ac:dyDescent="0.25"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</row>
    <row r="1171" spans="4:16" x14ac:dyDescent="0.25"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</row>
    <row r="1172" spans="4:16" x14ac:dyDescent="0.25"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</row>
    <row r="1173" spans="4:16" x14ac:dyDescent="0.25"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</row>
    <row r="1174" spans="4:16" x14ac:dyDescent="0.25"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</row>
    <row r="1175" spans="4:16" x14ac:dyDescent="0.25"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</row>
    <row r="1176" spans="4:16" x14ac:dyDescent="0.25"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</row>
    <row r="1177" spans="4:16" x14ac:dyDescent="0.25"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</row>
    <row r="1178" spans="4:16" x14ac:dyDescent="0.25"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</row>
    <row r="1179" spans="4:16" x14ac:dyDescent="0.25"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</row>
    <row r="1180" spans="4:16" x14ac:dyDescent="0.25"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</row>
    <row r="1181" spans="4:16" x14ac:dyDescent="0.25"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</row>
    <row r="1182" spans="4:16" x14ac:dyDescent="0.25"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</row>
    <row r="1183" spans="4:16" x14ac:dyDescent="0.25"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</row>
    <row r="1184" spans="4:16" x14ac:dyDescent="0.25"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</row>
    <row r="1185" spans="4:16" x14ac:dyDescent="0.25"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</row>
    <row r="1186" spans="4:16" x14ac:dyDescent="0.25"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</row>
    <row r="1187" spans="4:16" x14ac:dyDescent="0.25"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</row>
    <row r="1188" spans="4:16" x14ac:dyDescent="0.25"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</row>
    <row r="1189" spans="4:16" x14ac:dyDescent="0.25"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</row>
    <row r="1190" spans="4:16" x14ac:dyDescent="0.25"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</row>
    <row r="1191" spans="4:16" x14ac:dyDescent="0.25"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</row>
    <row r="1192" spans="4:16" x14ac:dyDescent="0.25"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</row>
    <row r="1193" spans="4:16" x14ac:dyDescent="0.25"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</row>
    <row r="1194" spans="4:16" x14ac:dyDescent="0.25"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</row>
    <row r="1195" spans="4:16" x14ac:dyDescent="0.25"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</row>
    <row r="1196" spans="4:16" x14ac:dyDescent="0.25"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</row>
    <row r="1197" spans="4:16" x14ac:dyDescent="0.25"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</row>
    <row r="1198" spans="4:16" x14ac:dyDescent="0.25"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</row>
    <row r="1199" spans="4:16" x14ac:dyDescent="0.25"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</row>
    <row r="1200" spans="4:16" x14ac:dyDescent="0.25"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</row>
    <row r="1201" spans="4:16" x14ac:dyDescent="0.25"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</row>
    <row r="1202" spans="4:16" x14ac:dyDescent="0.25"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</row>
    <row r="1203" spans="4:16" x14ac:dyDescent="0.25"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</row>
    <row r="1204" spans="4:16" x14ac:dyDescent="0.25"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</row>
    <row r="1205" spans="4:16" x14ac:dyDescent="0.25"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</row>
    <row r="1206" spans="4:16" x14ac:dyDescent="0.25"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</row>
    <row r="1207" spans="4:16" x14ac:dyDescent="0.25"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</row>
    <row r="1208" spans="4:16" x14ac:dyDescent="0.25"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</row>
    <row r="1209" spans="4:16" x14ac:dyDescent="0.25"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</row>
    <row r="1210" spans="4:16" x14ac:dyDescent="0.25"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</row>
    <row r="1211" spans="4:16" x14ac:dyDescent="0.25"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</row>
    <row r="1212" spans="4:16" x14ac:dyDescent="0.25"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</row>
    <row r="1213" spans="4:16" x14ac:dyDescent="0.25"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</row>
    <row r="1214" spans="4:16" x14ac:dyDescent="0.25"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</row>
    <row r="1215" spans="4:16" x14ac:dyDescent="0.25"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</row>
    <row r="1216" spans="4:16" x14ac:dyDescent="0.25"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</row>
    <row r="1217" spans="4:16" x14ac:dyDescent="0.25"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</row>
    <row r="1218" spans="4:16" x14ac:dyDescent="0.25"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</row>
    <row r="1219" spans="4:16" x14ac:dyDescent="0.25"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</row>
    <row r="1220" spans="4:16" x14ac:dyDescent="0.25"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</row>
    <row r="1221" spans="4:16" x14ac:dyDescent="0.25"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</row>
    <row r="1222" spans="4:16" x14ac:dyDescent="0.25"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</row>
    <row r="1223" spans="4:16" x14ac:dyDescent="0.25"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</row>
    <row r="1224" spans="4:16" x14ac:dyDescent="0.25"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</row>
    <row r="1225" spans="4:16" x14ac:dyDescent="0.25"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</row>
    <row r="1226" spans="4:16" x14ac:dyDescent="0.25"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</row>
    <row r="1227" spans="4:16" x14ac:dyDescent="0.25"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</row>
    <row r="1228" spans="4:16" x14ac:dyDescent="0.25"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</row>
    <row r="1229" spans="4:16" x14ac:dyDescent="0.25"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</row>
    <row r="1230" spans="4:16" x14ac:dyDescent="0.25"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</row>
    <row r="1231" spans="4:16" x14ac:dyDescent="0.25"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</row>
    <row r="1232" spans="4:16" x14ac:dyDescent="0.25"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</row>
    <row r="1233" spans="4:16" x14ac:dyDescent="0.25"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</row>
    <row r="1234" spans="4:16" x14ac:dyDescent="0.25"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</row>
    <row r="1235" spans="4:16" x14ac:dyDescent="0.25"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</row>
    <row r="1236" spans="4:16" x14ac:dyDescent="0.25"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</row>
    <row r="1237" spans="4:16" x14ac:dyDescent="0.25"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</row>
    <row r="1238" spans="4:16" x14ac:dyDescent="0.25"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</row>
    <row r="1239" spans="4:16" x14ac:dyDescent="0.25"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</row>
    <row r="1240" spans="4:16" x14ac:dyDescent="0.25"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</row>
    <row r="1241" spans="4:16" x14ac:dyDescent="0.25"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</row>
    <row r="1242" spans="4:16" x14ac:dyDescent="0.25"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</row>
    <row r="1243" spans="4:16" x14ac:dyDescent="0.25"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</row>
    <row r="1244" spans="4:16" x14ac:dyDescent="0.25"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</row>
    <row r="1245" spans="4:16" x14ac:dyDescent="0.25"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</row>
    <row r="1246" spans="4:16" x14ac:dyDescent="0.25"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</row>
    <row r="1247" spans="4:16" x14ac:dyDescent="0.25"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</row>
    <row r="1248" spans="4:16" x14ac:dyDescent="0.25"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</row>
    <row r="1249" spans="4:16" x14ac:dyDescent="0.25"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</row>
    <row r="1250" spans="4:16" x14ac:dyDescent="0.25"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</row>
    <row r="1251" spans="4:16" x14ac:dyDescent="0.25"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</row>
    <row r="1252" spans="4:16" x14ac:dyDescent="0.25"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</row>
    <row r="1253" spans="4:16" x14ac:dyDescent="0.25"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</row>
    <row r="1254" spans="4:16" x14ac:dyDescent="0.25"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</row>
    <row r="1255" spans="4:16" x14ac:dyDescent="0.25"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</row>
    <row r="1256" spans="4:16" x14ac:dyDescent="0.25"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</row>
    <row r="1257" spans="4:16" x14ac:dyDescent="0.25"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</row>
    <row r="1258" spans="4:16" x14ac:dyDescent="0.25"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</row>
    <row r="1259" spans="4:16" x14ac:dyDescent="0.25"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</row>
    <row r="1260" spans="4:16" x14ac:dyDescent="0.25"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</row>
    <row r="1261" spans="4:16" x14ac:dyDescent="0.25"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</row>
    <row r="1262" spans="4:16" x14ac:dyDescent="0.25"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</row>
    <row r="1263" spans="4:16" x14ac:dyDescent="0.25"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</row>
    <row r="1264" spans="4:16" x14ac:dyDescent="0.25"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</row>
    <row r="1265" spans="4:16" x14ac:dyDescent="0.25"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</row>
    <row r="1266" spans="4:16" x14ac:dyDescent="0.25"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</row>
    <row r="1267" spans="4:16" x14ac:dyDescent="0.25"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</row>
    <row r="1268" spans="4:16" x14ac:dyDescent="0.25"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</row>
    <row r="1269" spans="4:16" x14ac:dyDescent="0.25"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</row>
    <row r="1270" spans="4:16" x14ac:dyDescent="0.25"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</row>
    <row r="1271" spans="4:16" x14ac:dyDescent="0.25"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</row>
    <row r="1272" spans="4:16" x14ac:dyDescent="0.25"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</row>
    <row r="1273" spans="4:16" x14ac:dyDescent="0.25"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</row>
    <row r="1274" spans="4:16" x14ac:dyDescent="0.25"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</row>
    <row r="1275" spans="4:16" x14ac:dyDescent="0.25"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</row>
    <row r="1276" spans="4:16" x14ac:dyDescent="0.25"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</row>
    <row r="1277" spans="4:16" x14ac:dyDescent="0.25"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</row>
    <row r="1278" spans="4:16" x14ac:dyDescent="0.25"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</row>
    <row r="1279" spans="4:16" x14ac:dyDescent="0.25"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</row>
    <row r="1280" spans="4:16" x14ac:dyDescent="0.25"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</row>
    <row r="1281" spans="4:16" x14ac:dyDescent="0.25"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</row>
    <row r="1282" spans="4:16" x14ac:dyDescent="0.25"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</row>
    <row r="1283" spans="4:16" x14ac:dyDescent="0.25"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</row>
    <row r="1284" spans="4:16" x14ac:dyDescent="0.25"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</row>
    <row r="1285" spans="4:16" x14ac:dyDescent="0.25"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</row>
    <row r="1286" spans="4:16" x14ac:dyDescent="0.25"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</row>
    <row r="1287" spans="4:16" x14ac:dyDescent="0.25"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</row>
    <row r="1288" spans="4:16" x14ac:dyDescent="0.25"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</row>
    <row r="1289" spans="4:16" x14ac:dyDescent="0.25"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</row>
    <row r="1290" spans="4:16" x14ac:dyDescent="0.25"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</row>
    <row r="1291" spans="4:16" x14ac:dyDescent="0.25"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</row>
    <row r="1292" spans="4:16" x14ac:dyDescent="0.25"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</row>
    <row r="1293" spans="4:16" x14ac:dyDescent="0.25"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</row>
    <row r="1294" spans="4:16" x14ac:dyDescent="0.25"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</row>
    <row r="1295" spans="4:16" x14ac:dyDescent="0.25"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</row>
    <row r="1296" spans="4:16" x14ac:dyDescent="0.25"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</row>
    <row r="1297" spans="4:16" x14ac:dyDescent="0.25"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</row>
    <row r="1298" spans="4:16" x14ac:dyDescent="0.25"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</row>
    <row r="1299" spans="4:16" x14ac:dyDescent="0.25"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</row>
    <row r="1300" spans="4:16" x14ac:dyDescent="0.25"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</row>
    <row r="1301" spans="4:16" x14ac:dyDescent="0.25"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</row>
    <row r="1302" spans="4:16" x14ac:dyDescent="0.25"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</row>
    <row r="1303" spans="4:16" x14ac:dyDescent="0.25"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</row>
    <row r="1304" spans="4:16" x14ac:dyDescent="0.25"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</row>
    <row r="1305" spans="4:16" x14ac:dyDescent="0.25"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</row>
    <row r="1306" spans="4:16" x14ac:dyDescent="0.25"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</row>
    <row r="1307" spans="4:16" x14ac:dyDescent="0.25"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</row>
    <row r="1308" spans="4:16" x14ac:dyDescent="0.25"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</row>
    <row r="1309" spans="4:16" x14ac:dyDescent="0.25"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</row>
    <row r="1310" spans="4:16" x14ac:dyDescent="0.25"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</row>
    <row r="1311" spans="4:16" x14ac:dyDescent="0.25"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</row>
    <row r="1312" spans="4:16" x14ac:dyDescent="0.25"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</row>
    <row r="1313" spans="4:16" x14ac:dyDescent="0.25"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</row>
    <row r="1314" spans="4:16" x14ac:dyDescent="0.25"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</row>
    <row r="1315" spans="4:16" x14ac:dyDescent="0.25"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</row>
    <row r="1316" spans="4:16" x14ac:dyDescent="0.25"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</row>
    <row r="1317" spans="4:16" x14ac:dyDescent="0.25"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</row>
    <row r="1318" spans="4:16" x14ac:dyDescent="0.25"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</row>
    <row r="1319" spans="4:16" x14ac:dyDescent="0.25"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</row>
    <row r="1320" spans="4:16" x14ac:dyDescent="0.25"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</row>
    <row r="1321" spans="4:16" x14ac:dyDescent="0.25"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</row>
    <row r="1322" spans="4:16" x14ac:dyDescent="0.25"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</row>
    <row r="1323" spans="4:16" x14ac:dyDescent="0.25"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</row>
    <row r="1324" spans="4:16" x14ac:dyDescent="0.25"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</row>
    <row r="1325" spans="4:16" x14ac:dyDescent="0.25"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</row>
    <row r="1326" spans="4:16" x14ac:dyDescent="0.25"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</row>
    <row r="1327" spans="4:16" x14ac:dyDescent="0.25"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</row>
    <row r="1328" spans="4:16" x14ac:dyDescent="0.25"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</row>
    <row r="1329" spans="4:16" x14ac:dyDescent="0.25"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</row>
    <row r="1330" spans="4:16" x14ac:dyDescent="0.25"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</row>
    <row r="1331" spans="4:16" x14ac:dyDescent="0.25"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</row>
    <row r="1332" spans="4:16" x14ac:dyDescent="0.25"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</row>
    <row r="1333" spans="4:16" x14ac:dyDescent="0.25"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</row>
    <row r="1334" spans="4:16" x14ac:dyDescent="0.25"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</row>
    <row r="1335" spans="4:16" x14ac:dyDescent="0.25"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</row>
    <row r="1336" spans="4:16" x14ac:dyDescent="0.25"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</row>
    <row r="1337" spans="4:16" x14ac:dyDescent="0.25"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</row>
    <row r="1338" spans="4:16" x14ac:dyDescent="0.25"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</row>
    <row r="1339" spans="4:16" x14ac:dyDescent="0.25"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</row>
    <row r="1340" spans="4:16" x14ac:dyDescent="0.25"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</row>
    <row r="1341" spans="4:16" x14ac:dyDescent="0.25"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</row>
    <row r="1342" spans="4:16" x14ac:dyDescent="0.25"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</row>
    <row r="1343" spans="4:16" x14ac:dyDescent="0.25"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</row>
    <row r="1344" spans="4:16" x14ac:dyDescent="0.25"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</row>
    <row r="1345" spans="4:16" x14ac:dyDescent="0.25"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</row>
    <row r="1346" spans="4:16" x14ac:dyDescent="0.25"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</row>
    <row r="1347" spans="4:16" x14ac:dyDescent="0.25"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</row>
    <row r="1348" spans="4:16" x14ac:dyDescent="0.25"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</row>
    <row r="1349" spans="4:16" x14ac:dyDescent="0.25"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</row>
    <row r="1350" spans="4:16" x14ac:dyDescent="0.25"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</row>
    <row r="1351" spans="4:16" x14ac:dyDescent="0.25"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</row>
    <row r="1352" spans="4:16" x14ac:dyDescent="0.25"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</row>
    <row r="1353" spans="4:16" x14ac:dyDescent="0.25"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</row>
    <row r="1354" spans="4:16" x14ac:dyDescent="0.25"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</row>
    <row r="1355" spans="4:16" x14ac:dyDescent="0.25"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</row>
    <row r="1356" spans="4:16" x14ac:dyDescent="0.25"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</row>
    <row r="1357" spans="4:16" x14ac:dyDescent="0.25"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</row>
    <row r="1358" spans="4:16" x14ac:dyDescent="0.25"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</row>
    <row r="1359" spans="4:16" x14ac:dyDescent="0.25"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</row>
    <row r="1360" spans="4:16" x14ac:dyDescent="0.25"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</row>
    <row r="1361" spans="4:16" x14ac:dyDescent="0.25"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</row>
    <row r="1362" spans="4:16" x14ac:dyDescent="0.25"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</row>
    <row r="1363" spans="4:16" x14ac:dyDescent="0.25"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</row>
    <row r="1364" spans="4:16" x14ac:dyDescent="0.25"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</row>
    <row r="1365" spans="4:16" x14ac:dyDescent="0.25"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</row>
    <row r="1366" spans="4:16" x14ac:dyDescent="0.25"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</row>
    <row r="1367" spans="4:16" x14ac:dyDescent="0.25"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</row>
    <row r="1368" spans="4:16" x14ac:dyDescent="0.25"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</row>
    <row r="1369" spans="4:16" x14ac:dyDescent="0.25"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</row>
    <row r="1370" spans="4:16" x14ac:dyDescent="0.25"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</row>
    <row r="1371" spans="4:16" x14ac:dyDescent="0.25"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</row>
    <row r="1372" spans="4:16" x14ac:dyDescent="0.25"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</row>
    <row r="1373" spans="4:16" x14ac:dyDescent="0.25"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</row>
    <row r="1374" spans="4:16" x14ac:dyDescent="0.25"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</row>
    <row r="1375" spans="4:16" x14ac:dyDescent="0.25"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</row>
    <row r="1376" spans="4:16" x14ac:dyDescent="0.25"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</row>
    <row r="1377" spans="4:16" x14ac:dyDescent="0.25"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</row>
    <row r="1378" spans="4:16" x14ac:dyDescent="0.25"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</row>
    <row r="1379" spans="4:16" x14ac:dyDescent="0.25"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</row>
    <row r="1380" spans="4:16" x14ac:dyDescent="0.25"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</row>
    <row r="1381" spans="4:16" x14ac:dyDescent="0.25"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</row>
    <row r="1382" spans="4:16" x14ac:dyDescent="0.25"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</row>
    <row r="1383" spans="4:16" x14ac:dyDescent="0.25"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</row>
    <row r="1384" spans="4:16" x14ac:dyDescent="0.25"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</row>
    <row r="1385" spans="4:16" x14ac:dyDescent="0.25"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</row>
    <row r="1386" spans="4:16" x14ac:dyDescent="0.25"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</row>
    <row r="1387" spans="4:16" x14ac:dyDescent="0.25"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</row>
    <row r="1388" spans="4:16" x14ac:dyDescent="0.25"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</row>
    <row r="1389" spans="4:16" x14ac:dyDescent="0.25"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</row>
    <row r="1390" spans="4:16" x14ac:dyDescent="0.25"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</row>
    <row r="1391" spans="4:16" x14ac:dyDescent="0.25"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</row>
    <row r="1392" spans="4:16" x14ac:dyDescent="0.25"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</row>
    <row r="1393" spans="4:16" x14ac:dyDescent="0.25"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</row>
    <row r="1394" spans="4:16" x14ac:dyDescent="0.25"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</row>
    <row r="1395" spans="4:16" x14ac:dyDescent="0.25"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</row>
    <row r="1396" spans="4:16" x14ac:dyDescent="0.25"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</row>
    <row r="1397" spans="4:16" x14ac:dyDescent="0.25"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</row>
    <row r="1398" spans="4:16" x14ac:dyDescent="0.25"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</row>
    <row r="1399" spans="4:16" x14ac:dyDescent="0.25"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</row>
    <row r="1400" spans="4:16" x14ac:dyDescent="0.25"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</row>
    <row r="1401" spans="4:16" x14ac:dyDescent="0.25"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</row>
    <row r="1402" spans="4:16" x14ac:dyDescent="0.25"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</row>
    <row r="1403" spans="4:16" x14ac:dyDescent="0.25"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</row>
    <row r="1404" spans="4:16" x14ac:dyDescent="0.25"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</row>
    <row r="1405" spans="4:16" x14ac:dyDescent="0.25"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</row>
    <row r="1406" spans="4:16" x14ac:dyDescent="0.25"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</row>
    <row r="1407" spans="4:16" x14ac:dyDescent="0.25"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</row>
    <row r="1408" spans="4:16" x14ac:dyDescent="0.25"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</row>
    <row r="1409" spans="4:16" x14ac:dyDescent="0.25"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</row>
    <row r="1410" spans="4:16" x14ac:dyDescent="0.25"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</row>
    <row r="1411" spans="4:16" x14ac:dyDescent="0.25"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</row>
    <row r="1412" spans="4:16" x14ac:dyDescent="0.25"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</row>
    <row r="1413" spans="4:16" x14ac:dyDescent="0.25"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</row>
    <row r="1414" spans="4:16" x14ac:dyDescent="0.25"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</row>
    <row r="1415" spans="4:16" x14ac:dyDescent="0.25"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</row>
    <row r="1416" spans="4:16" x14ac:dyDescent="0.25"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</row>
    <row r="1417" spans="4:16" x14ac:dyDescent="0.25"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</row>
    <row r="1418" spans="4:16" x14ac:dyDescent="0.25"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</row>
    <row r="1419" spans="4:16" x14ac:dyDescent="0.25"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</row>
    <row r="1420" spans="4:16" x14ac:dyDescent="0.25"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</row>
    <row r="1421" spans="4:16" x14ac:dyDescent="0.25"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</row>
    <row r="1422" spans="4:16" x14ac:dyDescent="0.25"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</row>
    <row r="1423" spans="4:16" x14ac:dyDescent="0.25"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</row>
    <row r="1424" spans="4:16" x14ac:dyDescent="0.25"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</row>
    <row r="1425" spans="4:16" x14ac:dyDescent="0.25"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</row>
    <row r="1426" spans="4:16" x14ac:dyDescent="0.25"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</row>
    <row r="1427" spans="4:16" x14ac:dyDescent="0.25"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</row>
    <row r="1428" spans="4:16" x14ac:dyDescent="0.25"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</row>
    <row r="1429" spans="4:16" x14ac:dyDescent="0.25"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</row>
    <row r="1430" spans="4:16" x14ac:dyDescent="0.25"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</row>
    <row r="1431" spans="4:16" x14ac:dyDescent="0.25"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</row>
    <row r="1432" spans="4:16" x14ac:dyDescent="0.25"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</row>
    <row r="1433" spans="4:16" x14ac:dyDescent="0.25"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</row>
    <row r="1434" spans="4:16" x14ac:dyDescent="0.25"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</row>
    <row r="1435" spans="4:16" x14ac:dyDescent="0.25"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</row>
    <row r="1436" spans="4:16" x14ac:dyDescent="0.25"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</row>
    <row r="1437" spans="4:16" x14ac:dyDescent="0.25"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</row>
    <row r="1438" spans="4:16" x14ac:dyDescent="0.25"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</row>
    <row r="1439" spans="4:16" x14ac:dyDescent="0.25"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</row>
    <row r="1440" spans="4:16" x14ac:dyDescent="0.25"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</row>
    <row r="1441" spans="4:16" x14ac:dyDescent="0.25"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</row>
    <row r="1442" spans="4:16" x14ac:dyDescent="0.25"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</row>
    <row r="1443" spans="4:16" x14ac:dyDescent="0.25"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</row>
    <row r="1444" spans="4:16" x14ac:dyDescent="0.25"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</row>
    <row r="1445" spans="4:16" x14ac:dyDescent="0.25"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</row>
    <row r="1446" spans="4:16" x14ac:dyDescent="0.25"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</row>
    <row r="1447" spans="4:16" x14ac:dyDescent="0.25"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</row>
    <row r="1448" spans="4:16" x14ac:dyDescent="0.25"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</row>
    <row r="1449" spans="4:16" x14ac:dyDescent="0.25"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</row>
    <row r="1450" spans="4:16" x14ac:dyDescent="0.25"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</row>
    <row r="1451" spans="4:16" x14ac:dyDescent="0.25"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</row>
    <row r="1452" spans="4:16" x14ac:dyDescent="0.25"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</row>
    <row r="1453" spans="4:16" x14ac:dyDescent="0.25"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</row>
    <row r="1454" spans="4:16" x14ac:dyDescent="0.25"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</row>
    <row r="1455" spans="4:16" x14ac:dyDescent="0.25"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</row>
    <row r="1456" spans="4:16" x14ac:dyDescent="0.25"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</row>
    <row r="1457" spans="4:16" x14ac:dyDescent="0.25"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</row>
    <row r="1458" spans="4:16" x14ac:dyDescent="0.25"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</row>
    <row r="1459" spans="4:16" x14ac:dyDescent="0.25"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</row>
    <row r="1460" spans="4:16" x14ac:dyDescent="0.25"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</row>
    <row r="1461" spans="4:16" x14ac:dyDescent="0.25"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</row>
    <row r="1462" spans="4:16" x14ac:dyDescent="0.25"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</row>
    <row r="1463" spans="4:16" x14ac:dyDescent="0.25"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</row>
    <row r="1464" spans="4:16" x14ac:dyDescent="0.25"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</row>
    <row r="1465" spans="4:16" x14ac:dyDescent="0.25"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</row>
    <row r="1466" spans="4:16" x14ac:dyDescent="0.25"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</row>
    <row r="1467" spans="4:16" x14ac:dyDescent="0.25"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</row>
    <row r="1468" spans="4:16" x14ac:dyDescent="0.25"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</row>
    <row r="1469" spans="4:16" x14ac:dyDescent="0.25"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</row>
    <row r="1470" spans="4:16" x14ac:dyDescent="0.25"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</row>
    <row r="1471" spans="4:16" x14ac:dyDescent="0.25"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</row>
    <row r="1472" spans="4:16" x14ac:dyDescent="0.25"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</row>
    <row r="1473" spans="4:16" x14ac:dyDescent="0.25"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</row>
    <row r="1474" spans="4:16" x14ac:dyDescent="0.25"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</row>
    <row r="1475" spans="4:16" x14ac:dyDescent="0.25"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</row>
    <row r="1476" spans="4:16" x14ac:dyDescent="0.25"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</row>
    <row r="1477" spans="4:16" x14ac:dyDescent="0.25"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</row>
    <row r="1478" spans="4:16" x14ac:dyDescent="0.25"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</row>
    <row r="1479" spans="4:16" x14ac:dyDescent="0.25"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</row>
    <row r="1480" spans="4:16" x14ac:dyDescent="0.25"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</row>
    <row r="1481" spans="4:16" x14ac:dyDescent="0.25"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</row>
    <row r="1482" spans="4:16" x14ac:dyDescent="0.25"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</row>
    <row r="1483" spans="4:16" x14ac:dyDescent="0.25"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</row>
    <row r="1484" spans="4:16" x14ac:dyDescent="0.25"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</row>
    <row r="1485" spans="4:16" x14ac:dyDescent="0.25"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</row>
    <row r="1486" spans="4:16" x14ac:dyDescent="0.25"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</row>
    <row r="1487" spans="4:16" x14ac:dyDescent="0.25"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</row>
    <row r="1488" spans="4:16" x14ac:dyDescent="0.25"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</row>
    <row r="1489" spans="4:16" x14ac:dyDescent="0.25"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</row>
    <row r="1490" spans="4:16" x14ac:dyDescent="0.25"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</row>
    <row r="1491" spans="4:16" x14ac:dyDescent="0.25"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</row>
    <row r="1492" spans="4:16" x14ac:dyDescent="0.25"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</row>
    <row r="1493" spans="4:16" x14ac:dyDescent="0.25"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</row>
    <row r="1494" spans="4:16" x14ac:dyDescent="0.25"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</row>
    <row r="1495" spans="4:16" x14ac:dyDescent="0.25"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</row>
    <row r="1496" spans="4:16" x14ac:dyDescent="0.25"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</row>
    <row r="1497" spans="4:16" x14ac:dyDescent="0.25"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</row>
    <row r="1498" spans="4:16" x14ac:dyDescent="0.25"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</row>
    <row r="1499" spans="4:16" x14ac:dyDescent="0.25"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</row>
    <row r="1500" spans="4:16" x14ac:dyDescent="0.25"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</row>
    <row r="1501" spans="4:16" x14ac:dyDescent="0.25"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</row>
    <row r="1502" spans="4:16" x14ac:dyDescent="0.25"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</row>
    <row r="1503" spans="4:16" x14ac:dyDescent="0.25"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</row>
    <row r="1504" spans="4:16" x14ac:dyDescent="0.25"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</row>
    <row r="1505" spans="4:16" x14ac:dyDescent="0.25"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</row>
    <row r="1506" spans="4:16" x14ac:dyDescent="0.25"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</row>
    <row r="1507" spans="4:16" x14ac:dyDescent="0.25"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</row>
    <row r="1508" spans="4:16" x14ac:dyDescent="0.25"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</row>
    <row r="1509" spans="4:16" x14ac:dyDescent="0.25"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</row>
    <row r="1510" spans="4:16" x14ac:dyDescent="0.25"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</row>
    <row r="1511" spans="4:16" x14ac:dyDescent="0.25"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</row>
    <row r="1512" spans="4:16" x14ac:dyDescent="0.25"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</row>
    <row r="1513" spans="4:16" x14ac:dyDescent="0.25"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</row>
    <row r="1514" spans="4:16" x14ac:dyDescent="0.25"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</row>
    <row r="1515" spans="4:16" x14ac:dyDescent="0.25"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</row>
    <row r="1516" spans="4:16" x14ac:dyDescent="0.25"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</row>
    <row r="1517" spans="4:16" x14ac:dyDescent="0.25"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</row>
    <row r="1518" spans="4:16" x14ac:dyDescent="0.25"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</row>
    <row r="1519" spans="4:16" x14ac:dyDescent="0.25"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</row>
    <row r="1520" spans="4:16" x14ac:dyDescent="0.25"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</row>
    <row r="1521" spans="4:16" x14ac:dyDescent="0.25"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</row>
    <row r="1522" spans="4:16" x14ac:dyDescent="0.25"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</row>
    <row r="1523" spans="4:16" x14ac:dyDescent="0.25"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</row>
    <row r="1524" spans="4:16" x14ac:dyDescent="0.25"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</row>
    <row r="1525" spans="4:16" x14ac:dyDescent="0.25"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</row>
    <row r="1526" spans="4:16" x14ac:dyDescent="0.25"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</row>
    <row r="1527" spans="4:16" x14ac:dyDescent="0.25"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</row>
    <row r="1528" spans="4:16" x14ac:dyDescent="0.25"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</row>
    <row r="1529" spans="4:16" x14ac:dyDescent="0.25"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</row>
    <row r="1530" spans="4:16" x14ac:dyDescent="0.25"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</row>
    <row r="1531" spans="4:16" x14ac:dyDescent="0.25"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</row>
    <row r="1532" spans="4:16" x14ac:dyDescent="0.25"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</row>
    <row r="1533" spans="4:16" x14ac:dyDescent="0.25"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</row>
    <row r="1534" spans="4:16" x14ac:dyDescent="0.25"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</row>
    <row r="1535" spans="4:16" x14ac:dyDescent="0.25"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</row>
    <row r="1536" spans="4:16" x14ac:dyDescent="0.25"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</row>
    <row r="1537" spans="4:16" x14ac:dyDescent="0.25"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</row>
    <row r="1538" spans="4:16" x14ac:dyDescent="0.25"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</row>
    <row r="1539" spans="4:16" x14ac:dyDescent="0.25"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</row>
    <row r="1540" spans="4:16" x14ac:dyDescent="0.25"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</row>
    <row r="1541" spans="4:16" x14ac:dyDescent="0.25"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</row>
    <row r="1542" spans="4:16" x14ac:dyDescent="0.25"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</row>
    <row r="1543" spans="4:16" x14ac:dyDescent="0.25"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</row>
    <row r="1544" spans="4:16" x14ac:dyDescent="0.25"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</row>
    <row r="1545" spans="4:16" x14ac:dyDescent="0.25"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</row>
    <row r="1546" spans="4:16" x14ac:dyDescent="0.25"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</row>
    <row r="1547" spans="4:16" x14ac:dyDescent="0.25"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</row>
    <row r="1548" spans="4:16" x14ac:dyDescent="0.25"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</row>
    <row r="1549" spans="4:16" x14ac:dyDescent="0.25"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</row>
    <row r="1550" spans="4:16" x14ac:dyDescent="0.25"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</row>
    <row r="1551" spans="4:16" x14ac:dyDescent="0.25"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</row>
    <row r="1552" spans="4:16" x14ac:dyDescent="0.25"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</row>
    <row r="1553" spans="4:16" x14ac:dyDescent="0.25"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</row>
    <row r="1554" spans="4:16" x14ac:dyDescent="0.25"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</row>
    <row r="1555" spans="4:16" x14ac:dyDescent="0.25"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</row>
    <row r="1556" spans="4:16" x14ac:dyDescent="0.25"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</row>
    <row r="1557" spans="4:16" x14ac:dyDescent="0.25"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</row>
    <row r="1558" spans="4:16" x14ac:dyDescent="0.25"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</row>
    <row r="1559" spans="4:16" x14ac:dyDescent="0.25"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</row>
    <row r="1560" spans="4:16" x14ac:dyDescent="0.25"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</row>
    <row r="1561" spans="4:16" x14ac:dyDescent="0.25"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</row>
    <row r="1562" spans="4:16" x14ac:dyDescent="0.25"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</row>
    <row r="1563" spans="4:16" x14ac:dyDescent="0.25"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</row>
    <row r="1564" spans="4:16" x14ac:dyDescent="0.25"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</row>
    <row r="1565" spans="4:16" x14ac:dyDescent="0.25"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</row>
    <row r="1566" spans="4:16" x14ac:dyDescent="0.25"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</row>
    <row r="1567" spans="4:16" x14ac:dyDescent="0.25"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</row>
    <row r="1568" spans="4:16" x14ac:dyDescent="0.25"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</row>
    <row r="1569" spans="4:16" x14ac:dyDescent="0.25"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</row>
    <row r="1570" spans="4:16" x14ac:dyDescent="0.25"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</row>
    <row r="1571" spans="4:16" x14ac:dyDescent="0.25"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</row>
    <row r="1572" spans="4:16" x14ac:dyDescent="0.25"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</row>
    <row r="1573" spans="4:16" x14ac:dyDescent="0.25"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</row>
    <row r="1574" spans="4:16" x14ac:dyDescent="0.25"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</row>
    <row r="1575" spans="4:16" x14ac:dyDescent="0.25"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</row>
    <row r="1576" spans="4:16" x14ac:dyDescent="0.25"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</row>
    <row r="1577" spans="4:16" x14ac:dyDescent="0.25"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</row>
    <row r="1578" spans="4:16" x14ac:dyDescent="0.25"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</row>
    <row r="1579" spans="4:16" x14ac:dyDescent="0.25"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</row>
    <row r="1580" spans="4:16" x14ac:dyDescent="0.25"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</row>
    <row r="1581" spans="4:16" x14ac:dyDescent="0.25"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</row>
    <row r="1582" spans="4:16" x14ac:dyDescent="0.25"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</row>
    <row r="1583" spans="4:16" x14ac:dyDescent="0.25"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</row>
    <row r="1584" spans="4:16" x14ac:dyDescent="0.25"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</row>
    <row r="1585" spans="4:16" x14ac:dyDescent="0.25"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</row>
    <row r="1586" spans="4:16" x14ac:dyDescent="0.25"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</row>
    <row r="1587" spans="4:16" x14ac:dyDescent="0.25"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</row>
    <row r="1588" spans="4:16" x14ac:dyDescent="0.25"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</row>
    <row r="1589" spans="4:16" x14ac:dyDescent="0.25"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</row>
    <row r="1590" spans="4:16" x14ac:dyDescent="0.25"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</row>
    <row r="1591" spans="4:16" x14ac:dyDescent="0.25"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</row>
    <row r="1592" spans="4:16" x14ac:dyDescent="0.25"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</row>
    <row r="1593" spans="4:16" x14ac:dyDescent="0.25"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</row>
    <row r="1594" spans="4:16" x14ac:dyDescent="0.25"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</row>
    <row r="1595" spans="4:16" x14ac:dyDescent="0.25"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</row>
    <row r="1596" spans="4:16" x14ac:dyDescent="0.25"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</row>
    <row r="1597" spans="4:16" x14ac:dyDescent="0.25"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</row>
    <row r="1598" spans="4:16" x14ac:dyDescent="0.25"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</row>
    <row r="1599" spans="4:16" x14ac:dyDescent="0.25"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</row>
    <row r="1600" spans="4:16" x14ac:dyDescent="0.25"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</row>
    <row r="1601" spans="4:16" x14ac:dyDescent="0.25"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</row>
    <row r="1602" spans="4:16" x14ac:dyDescent="0.25"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</row>
    <row r="1603" spans="4:16" x14ac:dyDescent="0.25"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</row>
    <row r="1604" spans="4:16" x14ac:dyDescent="0.25"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</row>
    <row r="1605" spans="4:16" x14ac:dyDescent="0.25"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</row>
    <row r="1606" spans="4:16" x14ac:dyDescent="0.25"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</row>
    <row r="1607" spans="4:16" x14ac:dyDescent="0.25"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</row>
    <row r="1608" spans="4:16" x14ac:dyDescent="0.25"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</row>
    <row r="1609" spans="4:16" x14ac:dyDescent="0.25"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</row>
    <row r="1610" spans="4:16" x14ac:dyDescent="0.25"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</row>
    <row r="1611" spans="4:16" x14ac:dyDescent="0.25">
      <c r="G1611" s="1"/>
      <c r="H1611" s="1"/>
      <c r="I1611" s="1"/>
      <c r="J1611" s="1"/>
      <c r="K1611" s="1"/>
      <c r="L1611" s="1"/>
      <c r="M1611" s="1"/>
      <c r="N1611" s="1"/>
      <c r="O1611" s="1"/>
      <c r="P1611" s="1"/>
    </row>
    <row r="1612" spans="4:16" x14ac:dyDescent="0.25">
      <c r="G1612" s="1"/>
      <c r="H1612" s="1"/>
      <c r="I1612" s="1"/>
      <c r="J1612" s="1"/>
      <c r="K1612" s="1"/>
      <c r="L1612" s="1"/>
      <c r="M1612" s="1"/>
      <c r="N1612" s="1"/>
      <c r="O1612" s="1"/>
      <c r="P1612" s="1"/>
    </row>
    <row r="1613" spans="4:16" x14ac:dyDescent="0.25">
      <c r="G1613" s="1"/>
      <c r="H1613" s="1"/>
      <c r="I1613" s="1"/>
      <c r="J1613" s="1"/>
      <c r="K1613" s="1"/>
      <c r="L1613" s="1"/>
      <c r="M1613" s="1"/>
      <c r="N1613" s="1"/>
      <c r="O1613" s="1"/>
      <c r="P1613" s="1"/>
    </row>
    <row r="1614" spans="4:16" x14ac:dyDescent="0.25">
      <c r="G1614" s="1"/>
      <c r="H1614" s="1"/>
      <c r="I1614" s="1"/>
      <c r="J1614" s="1"/>
      <c r="K1614" s="1"/>
      <c r="L1614" s="1"/>
      <c r="M1614" s="1"/>
      <c r="N1614" s="1"/>
      <c r="O1614" s="1"/>
      <c r="P1614" s="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TextBox1">
          <controlPr defaultSize="0" autoLine="0" autoPict="0" r:id="rId4">
            <anchor moveWithCells="1">
              <from>
                <xdr:col>3</xdr:col>
                <xdr:colOff>0</xdr:colOff>
                <xdr:row>2</xdr:row>
                <xdr:rowOff>171450</xdr:rowOff>
              </from>
              <to>
                <xdr:col>4</xdr:col>
                <xdr:colOff>1000125</xdr:colOff>
                <xdr:row>4</xdr:row>
                <xdr:rowOff>161925</xdr:rowOff>
              </to>
            </anchor>
          </controlPr>
        </control>
      </mc:Choice>
      <mc:Fallback>
        <control shapeId="1027" r:id="rId3" name="TextBox1"/>
      </mc:Fallback>
    </mc:AlternateContent>
    <mc:AlternateContent xmlns:mc="http://schemas.openxmlformats.org/markup-compatibility/2006">
      <mc:Choice Requires="x14">
        <control shapeId="1026" r:id="rId5" name="Button 2">
          <controlPr defaultSize="0" print="0" autoFill="0" autoPict="0" macro="[0]!MENU">
            <anchor moveWithCells="1" sizeWithCells="1">
              <from>
                <xdr:col>4</xdr:col>
                <xdr:colOff>1009650</xdr:colOff>
                <xdr:row>3</xdr:row>
                <xdr:rowOff>9525</xdr:rowOff>
              </from>
              <to>
                <xdr:col>6</xdr:col>
                <xdr:colOff>0</xdr:colOff>
                <xdr:row>4</xdr:row>
                <xdr:rowOff>171450</xdr:rowOff>
              </to>
            </anchor>
          </controlPr>
        </control>
      </mc:Choice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B3B79C-E7CE-4290-9D47-B27EF0768B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MENU</vt:lpstr>
      <vt:lpstr>AÑO 2011</vt:lpstr>
      <vt:lpstr>AÑO 2014</vt:lpstr>
      <vt:lpstr>AÑO 2016</vt:lpstr>
      <vt:lpstr>AÑO 2017</vt:lpstr>
      <vt:lpstr>AÑO 2018</vt:lpstr>
      <vt:lpstr>AÑO 2019</vt:lpstr>
      <vt:lpstr>AÑO 2020</vt:lpstr>
      <vt:lpstr>AÑO 2021</vt:lpstr>
      <vt:lpstr>AÑO 2022</vt:lpstr>
      <vt:lpstr>AÑO 2023</vt:lpstr>
      <vt:lpstr>AÑO 2024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DIRECTORA</dc:creator>
  <cp:lastModifiedBy>Jesus Alfonseca</cp:lastModifiedBy>
  <dcterms:created xsi:type="dcterms:W3CDTF">2025-07-15T15:48:56Z</dcterms:created>
  <dcterms:modified xsi:type="dcterms:W3CDTF">2026-07-17T13:05:22Z</dcterms:modified>
</cp:coreProperties>
</file>